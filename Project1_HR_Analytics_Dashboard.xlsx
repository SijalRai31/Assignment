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jal Rai\Downloads\"/>
    </mc:Choice>
  </mc:AlternateContent>
  <xr:revisionPtr revIDLastSave="0" documentId="13_ncr:1_{FC8C7B85-EAD2-4BD7-9BA3-8030F51C500F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Dashboard" sheetId="1" r:id="rId1"/>
    <sheet name="Analysis" sheetId="2" r:id="rId2"/>
    <sheet name="Employee_Data" sheetId="3" r:id="rId3"/>
    <sheet name="Assumptions" sheetId="4" r:id="rId4"/>
  </sheets>
  <definedNames>
    <definedName name="_xlnm._FilterDatabase" localSheetId="2" hidden="1">Employee_Data!$A$1:$R$321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C7" i="2"/>
  <c r="B4" i="4"/>
  <c r="R321" i="3"/>
  <c r="P321" i="3"/>
  <c r="O321" i="3"/>
  <c r="Q321" i="3" s="1"/>
  <c r="N321" i="3"/>
  <c r="M321" i="3"/>
  <c r="R320" i="3"/>
  <c r="Q320" i="3"/>
  <c r="P320" i="3"/>
  <c r="O320" i="3"/>
  <c r="N320" i="3"/>
  <c r="M320" i="3"/>
  <c r="R319" i="3"/>
  <c r="Q319" i="3"/>
  <c r="P319" i="3"/>
  <c r="O319" i="3"/>
  <c r="N319" i="3"/>
  <c r="M319" i="3"/>
  <c r="R318" i="3"/>
  <c r="P318" i="3"/>
  <c r="O318" i="3"/>
  <c r="Q318" i="3" s="1"/>
  <c r="N318" i="3"/>
  <c r="M318" i="3"/>
  <c r="R317" i="3"/>
  <c r="P317" i="3"/>
  <c r="O317" i="3"/>
  <c r="Q317" i="3" s="1"/>
  <c r="N317" i="3"/>
  <c r="M317" i="3"/>
  <c r="R316" i="3"/>
  <c r="Q316" i="3"/>
  <c r="P316" i="3"/>
  <c r="O316" i="3"/>
  <c r="N316" i="3"/>
  <c r="M316" i="3"/>
  <c r="R315" i="3"/>
  <c r="Q315" i="3"/>
  <c r="P315" i="3"/>
  <c r="O315" i="3"/>
  <c r="N315" i="3"/>
  <c r="M315" i="3"/>
  <c r="R314" i="3"/>
  <c r="P314" i="3"/>
  <c r="O314" i="3"/>
  <c r="Q314" i="3" s="1"/>
  <c r="N314" i="3"/>
  <c r="M314" i="3"/>
  <c r="R313" i="3"/>
  <c r="P313" i="3"/>
  <c r="O313" i="3"/>
  <c r="Q313" i="3" s="1"/>
  <c r="N313" i="3"/>
  <c r="M313" i="3"/>
  <c r="R312" i="3"/>
  <c r="Q312" i="3"/>
  <c r="P312" i="3"/>
  <c r="O312" i="3"/>
  <c r="N312" i="3"/>
  <c r="M312" i="3"/>
  <c r="R311" i="3"/>
  <c r="Q311" i="3"/>
  <c r="P311" i="3"/>
  <c r="O311" i="3"/>
  <c r="N311" i="3"/>
  <c r="M311" i="3"/>
  <c r="R310" i="3"/>
  <c r="P310" i="3"/>
  <c r="O310" i="3"/>
  <c r="Q310" i="3" s="1"/>
  <c r="N310" i="3"/>
  <c r="M310" i="3"/>
  <c r="R309" i="3"/>
  <c r="P309" i="3"/>
  <c r="O309" i="3"/>
  <c r="Q309" i="3" s="1"/>
  <c r="N309" i="3"/>
  <c r="M309" i="3"/>
  <c r="R308" i="3"/>
  <c r="Q308" i="3"/>
  <c r="P308" i="3"/>
  <c r="O308" i="3"/>
  <c r="N308" i="3"/>
  <c r="M308" i="3"/>
  <c r="R307" i="3"/>
  <c r="Q307" i="3"/>
  <c r="P307" i="3"/>
  <c r="O307" i="3"/>
  <c r="N307" i="3"/>
  <c r="M307" i="3"/>
  <c r="R306" i="3"/>
  <c r="P306" i="3"/>
  <c r="O306" i="3"/>
  <c r="Q306" i="3" s="1"/>
  <c r="N306" i="3"/>
  <c r="M306" i="3"/>
  <c r="R305" i="3"/>
  <c r="Q305" i="3"/>
  <c r="P305" i="3"/>
  <c r="O305" i="3"/>
  <c r="N305" i="3"/>
  <c r="M305" i="3"/>
  <c r="R304" i="3"/>
  <c r="Q304" i="3"/>
  <c r="P304" i="3"/>
  <c r="O304" i="3"/>
  <c r="N304" i="3"/>
  <c r="M304" i="3"/>
  <c r="R303" i="3"/>
  <c r="Q303" i="3"/>
  <c r="P303" i="3"/>
  <c r="O303" i="3"/>
  <c r="N303" i="3"/>
  <c r="M303" i="3"/>
  <c r="R302" i="3"/>
  <c r="P302" i="3"/>
  <c r="O302" i="3"/>
  <c r="Q302" i="3" s="1"/>
  <c r="N302" i="3"/>
  <c r="M302" i="3"/>
  <c r="R301" i="3"/>
  <c r="Q301" i="3"/>
  <c r="P301" i="3"/>
  <c r="O301" i="3"/>
  <c r="N301" i="3"/>
  <c r="M301" i="3"/>
  <c r="R300" i="3"/>
  <c r="Q300" i="3"/>
  <c r="P300" i="3"/>
  <c r="O300" i="3"/>
  <c r="N300" i="3"/>
  <c r="M300" i="3"/>
  <c r="R299" i="3"/>
  <c r="Q299" i="3"/>
  <c r="P299" i="3"/>
  <c r="O299" i="3"/>
  <c r="N299" i="3"/>
  <c r="M299" i="3"/>
  <c r="R298" i="3"/>
  <c r="P298" i="3"/>
  <c r="O298" i="3"/>
  <c r="Q298" i="3" s="1"/>
  <c r="N298" i="3"/>
  <c r="M298" i="3"/>
  <c r="R297" i="3"/>
  <c r="Q297" i="3"/>
  <c r="P297" i="3"/>
  <c r="O297" i="3"/>
  <c r="N297" i="3"/>
  <c r="M297" i="3"/>
  <c r="R296" i="3"/>
  <c r="Q296" i="3"/>
  <c r="P296" i="3"/>
  <c r="O296" i="3"/>
  <c r="N296" i="3"/>
  <c r="M296" i="3"/>
  <c r="R295" i="3"/>
  <c r="Q295" i="3"/>
  <c r="P295" i="3"/>
  <c r="O295" i="3"/>
  <c r="N295" i="3"/>
  <c r="M295" i="3"/>
  <c r="R294" i="3"/>
  <c r="P294" i="3"/>
  <c r="O294" i="3"/>
  <c r="Q294" i="3" s="1"/>
  <c r="N294" i="3"/>
  <c r="M294" i="3"/>
  <c r="R293" i="3"/>
  <c r="Q293" i="3"/>
  <c r="P293" i="3"/>
  <c r="O293" i="3"/>
  <c r="N293" i="3"/>
  <c r="M293" i="3"/>
  <c r="R292" i="3"/>
  <c r="Q292" i="3"/>
  <c r="P292" i="3"/>
  <c r="O292" i="3"/>
  <c r="N292" i="3"/>
  <c r="M292" i="3"/>
  <c r="R291" i="3"/>
  <c r="Q291" i="3"/>
  <c r="P291" i="3"/>
  <c r="O291" i="3"/>
  <c r="N291" i="3"/>
  <c r="M291" i="3"/>
  <c r="R290" i="3"/>
  <c r="P290" i="3"/>
  <c r="O290" i="3"/>
  <c r="Q290" i="3" s="1"/>
  <c r="N290" i="3"/>
  <c r="M290" i="3"/>
  <c r="R289" i="3"/>
  <c r="Q289" i="3"/>
  <c r="P289" i="3"/>
  <c r="O289" i="3"/>
  <c r="N289" i="3"/>
  <c r="M289" i="3"/>
  <c r="R288" i="3"/>
  <c r="Q288" i="3"/>
  <c r="P288" i="3"/>
  <c r="O288" i="3"/>
  <c r="N288" i="3"/>
  <c r="M288" i="3"/>
  <c r="R287" i="3"/>
  <c r="Q287" i="3"/>
  <c r="P287" i="3"/>
  <c r="O287" i="3"/>
  <c r="N287" i="3"/>
  <c r="M287" i="3"/>
  <c r="R286" i="3"/>
  <c r="P286" i="3"/>
  <c r="O286" i="3"/>
  <c r="Q286" i="3" s="1"/>
  <c r="N286" i="3"/>
  <c r="M286" i="3"/>
  <c r="R285" i="3"/>
  <c r="Q285" i="3"/>
  <c r="P285" i="3"/>
  <c r="O285" i="3"/>
  <c r="N285" i="3"/>
  <c r="M285" i="3"/>
  <c r="R284" i="3"/>
  <c r="Q284" i="3"/>
  <c r="P284" i="3"/>
  <c r="O284" i="3"/>
  <c r="N284" i="3"/>
  <c r="M284" i="3"/>
  <c r="R283" i="3"/>
  <c r="Q283" i="3"/>
  <c r="P283" i="3"/>
  <c r="O283" i="3"/>
  <c r="N283" i="3"/>
  <c r="M283" i="3"/>
  <c r="R282" i="3"/>
  <c r="P282" i="3"/>
  <c r="O282" i="3"/>
  <c r="Q282" i="3" s="1"/>
  <c r="N282" i="3"/>
  <c r="M282" i="3"/>
  <c r="R281" i="3"/>
  <c r="Q281" i="3"/>
  <c r="P281" i="3"/>
  <c r="O281" i="3"/>
  <c r="N281" i="3"/>
  <c r="M281" i="3"/>
  <c r="R280" i="3"/>
  <c r="Q280" i="3"/>
  <c r="P280" i="3"/>
  <c r="O280" i="3"/>
  <c r="N280" i="3"/>
  <c r="M280" i="3"/>
  <c r="R279" i="3"/>
  <c r="Q279" i="3"/>
  <c r="P279" i="3"/>
  <c r="O279" i="3"/>
  <c r="N279" i="3"/>
  <c r="M279" i="3"/>
  <c r="R278" i="3"/>
  <c r="P278" i="3"/>
  <c r="O278" i="3"/>
  <c r="Q278" i="3" s="1"/>
  <c r="N278" i="3"/>
  <c r="M278" i="3"/>
  <c r="R277" i="3"/>
  <c r="Q277" i="3"/>
  <c r="P277" i="3"/>
  <c r="O277" i="3"/>
  <c r="N277" i="3"/>
  <c r="M277" i="3"/>
  <c r="R276" i="3"/>
  <c r="Q276" i="3"/>
  <c r="P276" i="3"/>
  <c r="O276" i="3"/>
  <c r="N276" i="3"/>
  <c r="M276" i="3"/>
  <c r="R275" i="3"/>
  <c r="Q275" i="3"/>
  <c r="P275" i="3"/>
  <c r="O275" i="3"/>
  <c r="N275" i="3"/>
  <c r="M275" i="3"/>
  <c r="R274" i="3"/>
  <c r="P274" i="3"/>
  <c r="O274" i="3"/>
  <c r="Q274" i="3" s="1"/>
  <c r="N274" i="3"/>
  <c r="M274" i="3"/>
  <c r="R273" i="3"/>
  <c r="Q273" i="3"/>
  <c r="P273" i="3"/>
  <c r="O273" i="3"/>
  <c r="N273" i="3"/>
  <c r="M273" i="3"/>
  <c r="R272" i="3"/>
  <c r="Q272" i="3"/>
  <c r="P272" i="3"/>
  <c r="O272" i="3"/>
  <c r="N272" i="3"/>
  <c r="M272" i="3"/>
  <c r="R271" i="3"/>
  <c r="Q271" i="3"/>
  <c r="P271" i="3"/>
  <c r="O271" i="3"/>
  <c r="N271" i="3"/>
  <c r="M271" i="3"/>
  <c r="R270" i="3"/>
  <c r="P270" i="3"/>
  <c r="O270" i="3"/>
  <c r="Q270" i="3" s="1"/>
  <c r="N270" i="3"/>
  <c r="M270" i="3"/>
  <c r="R269" i="3"/>
  <c r="Q269" i="3"/>
  <c r="P269" i="3"/>
  <c r="O269" i="3"/>
  <c r="N269" i="3"/>
  <c r="M269" i="3"/>
  <c r="R268" i="3"/>
  <c r="Q268" i="3"/>
  <c r="P268" i="3"/>
  <c r="O268" i="3"/>
  <c r="N268" i="3"/>
  <c r="M268" i="3"/>
  <c r="R267" i="3"/>
  <c r="Q267" i="3"/>
  <c r="P267" i="3"/>
  <c r="O267" i="3"/>
  <c r="N267" i="3"/>
  <c r="M267" i="3"/>
  <c r="R266" i="3"/>
  <c r="P266" i="3"/>
  <c r="O266" i="3"/>
  <c r="Q266" i="3" s="1"/>
  <c r="N266" i="3"/>
  <c r="M266" i="3"/>
  <c r="R265" i="3"/>
  <c r="Q265" i="3"/>
  <c r="P265" i="3"/>
  <c r="O265" i="3"/>
  <c r="N265" i="3"/>
  <c r="M265" i="3"/>
  <c r="R264" i="3"/>
  <c r="Q264" i="3"/>
  <c r="P264" i="3"/>
  <c r="O264" i="3"/>
  <c r="N264" i="3"/>
  <c r="M264" i="3"/>
  <c r="R263" i="3"/>
  <c r="Q263" i="3"/>
  <c r="P263" i="3"/>
  <c r="O263" i="3"/>
  <c r="N263" i="3"/>
  <c r="M263" i="3"/>
  <c r="R262" i="3"/>
  <c r="P262" i="3"/>
  <c r="O262" i="3"/>
  <c r="Q262" i="3" s="1"/>
  <c r="N262" i="3"/>
  <c r="M262" i="3"/>
  <c r="R261" i="3"/>
  <c r="Q261" i="3"/>
  <c r="P261" i="3"/>
  <c r="O261" i="3"/>
  <c r="N261" i="3"/>
  <c r="M261" i="3"/>
  <c r="R260" i="3"/>
  <c r="Q260" i="3"/>
  <c r="P260" i="3"/>
  <c r="O260" i="3"/>
  <c r="N260" i="3"/>
  <c r="M260" i="3"/>
  <c r="R259" i="3"/>
  <c r="Q259" i="3"/>
  <c r="P259" i="3"/>
  <c r="O259" i="3"/>
  <c r="N259" i="3"/>
  <c r="M259" i="3"/>
  <c r="R258" i="3"/>
  <c r="P258" i="3"/>
  <c r="O258" i="3"/>
  <c r="Q258" i="3" s="1"/>
  <c r="N258" i="3"/>
  <c r="M258" i="3"/>
  <c r="R257" i="3"/>
  <c r="Q257" i="3"/>
  <c r="P257" i="3"/>
  <c r="O257" i="3"/>
  <c r="N257" i="3"/>
  <c r="M257" i="3"/>
  <c r="R256" i="3"/>
  <c r="Q256" i="3"/>
  <c r="P256" i="3"/>
  <c r="O256" i="3"/>
  <c r="N256" i="3"/>
  <c r="M256" i="3"/>
  <c r="R255" i="3"/>
  <c r="Q255" i="3"/>
  <c r="P255" i="3"/>
  <c r="O255" i="3"/>
  <c r="N255" i="3"/>
  <c r="M255" i="3"/>
  <c r="R254" i="3"/>
  <c r="P254" i="3"/>
  <c r="O254" i="3"/>
  <c r="Q254" i="3" s="1"/>
  <c r="N254" i="3"/>
  <c r="M254" i="3"/>
  <c r="R253" i="3"/>
  <c r="Q253" i="3"/>
  <c r="P253" i="3"/>
  <c r="O253" i="3"/>
  <c r="N253" i="3"/>
  <c r="M253" i="3"/>
  <c r="R252" i="3"/>
  <c r="Q252" i="3"/>
  <c r="P252" i="3"/>
  <c r="O252" i="3"/>
  <c r="N252" i="3"/>
  <c r="M252" i="3"/>
  <c r="R251" i="3"/>
  <c r="Q251" i="3"/>
  <c r="P251" i="3"/>
  <c r="O251" i="3"/>
  <c r="N251" i="3"/>
  <c r="M251" i="3"/>
  <c r="R250" i="3"/>
  <c r="P250" i="3"/>
  <c r="O250" i="3"/>
  <c r="Q250" i="3" s="1"/>
  <c r="N250" i="3"/>
  <c r="M250" i="3"/>
  <c r="R249" i="3"/>
  <c r="Q249" i="3"/>
  <c r="P249" i="3"/>
  <c r="O249" i="3"/>
  <c r="N249" i="3"/>
  <c r="M249" i="3"/>
  <c r="R248" i="3"/>
  <c r="Q248" i="3"/>
  <c r="P248" i="3"/>
  <c r="O248" i="3"/>
  <c r="N248" i="3"/>
  <c r="M248" i="3"/>
  <c r="R247" i="3"/>
  <c r="Q247" i="3"/>
  <c r="P247" i="3"/>
  <c r="O247" i="3"/>
  <c r="N247" i="3"/>
  <c r="M247" i="3"/>
  <c r="R246" i="3"/>
  <c r="P246" i="3"/>
  <c r="O246" i="3"/>
  <c r="Q246" i="3" s="1"/>
  <c r="N246" i="3"/>
  <c r="M246" i="3"/>
  <c r="R245" i="3"/>
  <c r="Q245" i="3"/>
  <c r="P245" i="3"/>
  <c r="O245" i="3"/>
  <c r="N245" i="3"/>
  <c r="M245" i="3"/>
  <c r="R244" i="3"/>
  <c r="Q244" i="3"/>
  <c r="P244" i="3"/>
  <c r="O244" i="3"/>
  <c r="N244" i="3"/>
  <c r="M244" i="3"/>
  <c r="R243" i="3"/>
  <c r="Q243" i="3"/>
  <c r="P243" i="3"/>
  <c r="O243" i="3"/>
  <c r="N243" i="3"/>
  <c r="M243" i="3"/>
  <c r="R242" i="3"/>
  <c r="P242" i="3"/>
  <c r="O242" i="3"/>
  <c r="Q242" i="3" s="1"/>
  <c r="N242" i="3"/>
  <c r="M242" i="3"/>
  <c r="R241" i="3"/>
  <c r="Q241" i="3"/>
  <c r="P241" i="3"/>
  <c r="O241" i="3"/>
  <c r="N241" i="3"/>
  <c r="M241" i="3"/>
  <c r="R240" i="3"/>
  <c r="Q240" i="3"/>
  <c r="P240" i="3"/>
  <c r="O240" i="3"/>
  <c r="N240" i="3"/>
  <c r="M240" i="3"/>
  <c r="R239" i="3"/>
  <c r="Q239" i="3"/>
  <c r="P239" i="3"/>
  <c r="O239" i="3"/>
  <c r="N239" i="3"/>
  <c r="M239" i="3"/>
  <c r="R238" i="3"/>
  <c r="P238" i="3"/>
  <c r="O238" i="3"/>
  <c r="Q238" i="3" s="1"/>
  <c r="N238" i="3"/>
  <c r="M238" i="3"/>
  <c r="R237" i="3"/>
  <c r="Q237" i="3"/>
  <c r="P237" i="3"/>
  <c r="O237" i="3"/>
  <c r="N237" i="3"/>
  <c r="M237" i="3"/>
  <c r="R236" i="3"/>
  <c r="Q236" i="3"/>
  <c r="P236" i="3"/>
  <c r="O236" i="3"/>
  <c r="N236" i="3"/>
  <c r="M236" i="3"/>
  <c r="R235" i="3"/>
  <c r="Q235" i="3"/>
  <c r="P235" i="3"/>
  <c r="O235" i="3"/>
  <c r="N235" i="3"/>
  <c r="M235" i="3"/>
  <c r="R234" i="3"/>
  <c r="P234" i="3"/>
  <c r="O234" i="3"/>
  <c r="Q234" i="3" s="1"/>
  <c r="N234" i="3"/>
  <c r="M234" i="3"/>
  <c r="R233" i="3"/>
  <c r="Q233" i="3"/>
  <c r="P233" i="3"/>
  <c r="O233" i="3"/>
  <c r="N233" i="3"/>
  <c r="M233" i="3"/>
  <c r="B59" i="2" s="1"/>
  <c r="R232" i="3"/>
  <c r="Q232" i="3"/>
  <c r="P232" i="3"/>
  <c r="O232" i="3"/>
  <c r="N232" i="3"/>
  <c r="M232" i="3"/>
  <c r="R231" i="3"/>
  <c r="Q231" i="3"/>
  <c r="P231" i="3"/>
  <c r="O231" i="3"/>
  <c r="N231" i="3"/>
  <c r="M231" i="3"/>
  <c r="R230" i="3"/>
  <c r="P230" i="3"/>
  <c r="O230" i="3"/>
  <c r="Q230" i="3" s="1"/>
  <c r="N230" i="3"/>
  <c r="M230" i="3"/>
  <c r="R229" i="3"/>
  <c r="Q229" i="3"/>
  <c r="P229" i="3"/>
  <c r="O229" i="3"/>
  <c r="N229" i="3"/>
  <c r="M229" i="3"/>
  <c r="R228" i="3"/>
  <c r="Q228" i="3"/>
  <c r="P228" i="3"/>
  <c r="O228" i="3"/>
  <c r="N228" i="3"/>
  <c r="M228" i="3"/>
  <c r="R227" i="3"/>
  <c r="Q227" i="3"/>
  <c r="P227" i="3"/>
  <c r="O227" i="3"/>
  <c r="N227" i="3"/>
  <c r="M227" i="3"/>
  <c r="R226" i="3"/>
  <c r="P226" i="3"/>
  <c r="O226" i="3"/>
  <c r="Q226" i="3" s="1"/>
  <c r="N226" i="3"/>
  <c r="M226" i="3"/>
  <c r="R225" i="3"/>
  <c r="Q225" i="3"/>
  <c r="P225" i="3"/>
  <c r="O225" i="3"/>
  <c r="N225" i="3"/>
  <c r="M225" i="3"/>
  <c r="R224" i="3"/>
  <c r="Q224" i="3"/>
  <c r="P224" i="3"/>
  <c r="O224" i="3"/>
  <c r="N224" i="3"/>
  <c r="M224" i="3"/>
  <c r="R223" i="3"/>
  <c r="Q223" i="3"/>
  <c r="P223" i="3"/>
  <c r="O223" i="3"/>
  <c r="N223" i="3"/>
  <c r="M223" i="3"/>
  <c r="R222" i="3"/>
  <c r="P222" i="3"/>
  <c r="O222" i="3"/>
  <c r="Q222" i="3" s="1"/>
  <c r="N222" i="3"/>
  <c r="M222" i="3"/>
  <c r="R221" i="3"/>
  <c r="Q221" i="3"/>
  <c r="P221" i="3"/>
  <c r="O221" i="3"/>
  <c r="N221" i="3"/>
  <c r="M221" i="3"/>
  <c r="R220" i="3"/>
  <c r="Q220" i="3"/>
  <c r="P220" i="3"/>
  <c r="O220" i="3"/>
  <c r="N220" i="3"/>
  <c r="M220" i="3"/>
  <c r="R219" i="3"/>
  <c r="Q219" i="3"/>
  <c r="P219" i="3"/>
  <c r="O219" i="3"/>
  <c r="N219" i="3"/>
  <c r="M219" i="3"/>
  <c r="R218" i="3"/>
  <c r="P218" i="3"/>
  <c r="O218" i="3"/>
  <c r="Q218" i="3" s="1"/>
  <c r="N218" i="3"/>
  <c r="M218" i="3"/>
  <c r="R217" i="3"/>
  <c r="Q217" i="3"/>
  <c r="P217" i="3"/>
  <c r="O217" i="3"/>
  <c r="N217" i="3"/>
  <c r="M217" i="3"/>
  <c r="R216" i="3"/>
  <c r="Q216" i="3"/>
  <c r="P216" i="3"/>
  <c r="O216" i="3"/>
  <c r="N216" i="3"/>
  <c r="M216" i="3"/>
  <c r="R215" i="3"/>
  <c r="Q215" i="3"/>
  <c r="P215" i="3"/>
  <c r="O215" i="3"/>
  <c r="N215" i="3"/>
  <c r="M215" i="3"/>
  <c r="R214" i="3"/>
  <c r="P214" i="3"/>
  <c r="O214" i="3"/>
  <c r="Q214" i="3" s="1"/>
  <c r="N214" i="3"/>
  <c r="M214" i="3"/>
  <c r="R213" i="3"/>
  <c r="Q213" i="3"/>
  <c r="P213" i="3"/>
  <c r="O213" i="3"/>
  <c r="N213" i="3"/>
  <c r="M213" i="3"/>
  <c r="R212" i="3"/>
  <c r="Q212" i="3"/>
  <c r="P212" i="3"/>
  <c r="O212" i="3"/>
  <c r="N212" i="3"/>
  <c r="M212" i="3"/>
  <c r="R211" i="3"/>
  <c r="Q211" i="3"/>
  <c r="P211" i="3"/>
  <c r="O211" i="3"/>
  <c r="N211" i="3"/>
  <c r="M211" i="3"/>
  <c r="R210" i="3"/>
  <c r="P210" i="3"/>
  <c r="O210" i="3"/>
  <c r="Q210" i="3" s="1"/>
  <c r="N210" i="3"/>
  <c r="M210" i="3"/>
  <c r="R209" i="3"/>
  <c r="Q209" i="3"/>
  <c r="P209" i="3"/>
  <c r="O209" i="3"/>
  <c r="N209" i="3"/>
  <c r="M209" i="3"/>
  <c r="R208" i="3"/>
  <c r="Q208" i="3"/>
  <c r="P208" i="3"/>
  <c r="O208" i="3"/>
  <c r="N208" i="3"/>
  <c r="M208" i="3"/>
  <c r="R207" i="3"/>
  <c r="Q207" i="3"/>
  <c r="P207" i="3"/>
  <c r="O207" i="3"/>
  <c r="N207" i="3"/>
  <c r="M207" i="3"/>
  <c r="R206" i="3"/>
  <c r="P206" i="3"/>
  <c r="O206" i="3"/>
  <c r="Q206" i="3" s="1"/>
  <c r="N206" i="3"/>
  <c r="M206" i="3"/>
  <c r="R205" i="3"/>
  <c r="Q205" i="3"/>
  <c r="P205" i="3"/>
  <c r="O205" i="3"/>
  <c r="N205" i="3"/>
  <c r="M205" i="3"/>
  <c r="R204" i="3"/>
  <c r="Q204" i="3"/>
  <c r="P204" i="3"/>
  <c r="O204" i="3"/>
  <c r="N204" i="3"/>
  <c r="M204" i="3"/>
  <c r="R203" i="3"/>
  <c r="Q203" i="3"/>
  <c r="P203" i="3"/>
  <c r="O203" i="3"/>
  <c r="N203" i="3"/>
  <c r="M203" i="3"/>
  <c r="R202" i="3"/>
  <c r="P202" i="3"/>
  <c r="O202" i="3"/>
  <c r="Q202" i="3" s="1"/>
  <c r="N202" i="3"/>
  <c r="M202" i="3"/>
  <c r="R201" i="3"/>
  <c r="Q201" i="3"/>
  <c r="P201" i="3"/>
  <c r="O201" i="3"/>
  <c r="N201" i="3"/>
  <c r="M201" i="3"/>
  <c r="R200" i="3"/>
  <c r="Q200" i="3"/>
  <c r="P200" i="3"/>
  <c r="O200" i="3"/>
  <c r="N200" i="3"/>
  <c r="M200" i="3"/>
  <c r="R199" i="3"/>
  <c r="Q199" i="3"/>
  <c r="P199" i="3"/>
  <c r="O199" i="3"/>
  <c r="N199" i="3"/>
  <c r="M199" i="3"/>
  <c r="R198" i="3"/>
  <c r="P198" i="3"/>
  <c r="O198" i="3"/>
  <c r="Q198" i="3" s="1"/>
  <c r="N198" i="3"/>
  <c r="M198" i="3"/>
  <c r="R197" i="3"/>
  <c r="Q197" i="3"/>
  <c r="P197" i="3"/>
  <c r="O197" i="3"/>
  <c r="N197" i="3"/>
  <c r="M197" i="3"/>
  <c r="R196" i="3"/>
  <c r="Q196" i="3"/>
  <c r="P196" i="3"/>
  <c r="O196" i="3"/>
  <c r="N196" i="3"/>
  <c r="M196" i="3"/>
  <c r="R195" i="3"/>
  <c r="Q195" i="3"/>
  <c r="P195" i="3"/>
  <c r="O195" i="3"/>
  <c r="N195" i="3"/>
  <c r="M195" i="3"/>
  <c r="R194" i="3"/>
  <c r="P194" i="3"/>
  <c r="O194" i="3"/>
  <c r="Q194" i="3" s="1"/>
  <c r="N194" i="3"/>
  <c r="M194" i="3"/>
  <c r="R193" i="3"/>
  <c r="Q193" i="3"/>
  <c r="P193" i="3"/>
  <c r="O193" i="3"/>
  <c r="N193" i="3"/>
  <c r="M193" i="3"/>
  <c r="R192" i="3"/>
  <c r="Q192" i="3"/>
  <c r="P192" i="3"/>
  <c r="O192" i="3"/>
  <c r="N192" i="3"/>
  <c r="M192" i="3"/>
  <c r="R191" i="3"/>
  <c r="Q191" i="3"/>
  <c r="P191" i="3"/>
  <c r="O191" i="3"/>
  <c r="N191" i="3"/>
  <c r="M191" i="3"/>
  <c r="R190" i="3"/>
  <c r="P190" i="3"/>
  <c r="O190" i="3"/>
  <c r="Q190" i="3" s="1"/>
  <c r="N190" i="3"/>
  <c r="M190" i="3"/>
  <c r="R189" i="3"/>
  <c r="Q189" i="3"/>
  <c r="P189" i="3"/>
  <c r="O189" i="3"/>
  <c r="N189" i="3"/>
  <c r="M189" i="3"/>
  <c r="R188" i="3"/>
  <c r="Q188" i="3"/>
  <c r="P188" i="3"/>
  <c r="O188" i="3"/>
  <c r="N188" i="3"/>
  <c r="M188" i="3"/>
  <c r="R187" i="3"/>
  <c r="Q187" i="3"/>
  <c r="P187" i="3"/>
  <c r="O187" i="3"/>
  <c r="N187" i="3"/>
  <c r="M187" i="3"/>
  <c r="R186" i="3"/>
  <c r="P186" i="3"/>
  <c r="O186" i="3"/>
  <c r="Q186" i="3" s="1"/>
  <c r="N186" i="3"/>
  <c r="M186" i="3"/>
  <c r="R185" i="3"/>
  <c r="Q185" i="3"/>
  <c r="P185" i="3"/>
  <c r="O185" i="3"/>
  <c r="N185" i="3"/>
  <c r="M185" i="3"/>
  <c r="R184" i="3"/>
  <c r="Q184" i="3"/>
  <c r="P184" i="3"/>
  <c r="O184" i="3"/>
  <c r="N184" i="3"/>
  <c r="M184" i="3"/>
  <c r="R183" i="3"/>
  <c r="Q183" i="3"/>
  <c r="P183" i="3"/>
  <c r="O183" i="3"/>
  <c r="N183" i="3"/>
  <c r="M183" i="3"/>
  <c r="R182" i="3"/>
  <c r="P182" i="3"/>
  <c r="O182" i="3"/>
  <c r="Q182" i="3" s="1"/>
  <c r="N182" i="3"/>
  <c r="M182" i="3"/>
  <c r="R181" i="3"/>
  <c r="Q181" i="3"/>
  <c r="P181" i="3"/>
  <c r="O181" i="3"/>
  <c r="N181" i="3"/>
  <c r="M181" i="3"/>
  <c r="R180" i="3"/>
  <c r="Q180" i="3"/>
  <c r="P180" i="3"/>
  <c r="O180" i="3"/>
  <c r="N180" i="3"/>
  <c r="M180" i="3"/>
  <c r="R179" i="3"/>
  <c r="Q179" i="3"/>
  <c r="P179" i="3"/>
  <c r="O179" i="3"/>
  <c r="N179" i="3"/>
  <c r="M179" i="3"/>
  <c r="R178" i="3"/>
  <c r="P178" i="3"/>
  <c r="O178" i="3"/>
  <c r="Q178" i="3" s="1"/>
  <c r="N178" i="3"/>
  <c r="M178" i="3"/>
  <c r="R177" i="3"/>
  <c r="Q177" i="3"/>
  <c r="P177" i="3"/>
  <c r="O177" i="3"/>
  <c r="N177" i="3"/>
  <c r="M177" i="3"/>
  <c r="R176" i="3"/>
  <c r="Q176" i="3"/>
  <c r="P176" i="3"/>
  <c r="O176" i="3"/>
  <c r="N176" i="3"/>
  <c r="M176" i="3"/>
  <c r="R175" i="3"/>
  <c r="Q175" i="3"/>
  <c r="P175" i="3"/>
  <c r="O175" i="3"/>
  <c r="N175" i="3"/>
  <c r="M175" i="3"/>
  <c r="R174" i="3"/>
  <c r="P174" i="3"/>
  <c r="O174" i="3"/>
  <c r="Q174" i="3" s="1"/>
  <c r="N174" i="3"/>
  <c r="M174" i="3"/>
  <c r="R173" i="3"/>
  <c r="Q173" i="3"/>
  <c r="P173" i="3"/>
  <c r="O173" i="3"/>
  <c r="N173" i="3"/>
  <c r="M173" i="3"/>
  <c r="R172" i="3"/>
  <c r="Q172" i="3"/>
  <c r="P172" i="3"/>
  <c r="O172" i="3"/>
  <c r="N172" i="3"/>
  <c r="M172" i="3"/>
  <c r="R171" i="3"/>
  <c r="Q171" i="3"/>
  <c r="P171" i="3"/>
  <c r="O171" i="3"/>
  <c r="N171" i="3"/>
  <c r="M171" i="3"/>
  <c r="R170" i="3"/>
  <c r="P170" i="3"/>
  <c r="O170" i="3"/>
  <c r="Q170" i="3" s="1"/>
  <c r="N170" i="3"/>
  <c r="M170" i="3"/>
  <c r="R169" i="3"/>
  <c r="Q169" i="3"/>
  <c r="P169" i="3"/>
  <c r="O169" i="3"/>
  <c r="N169" i="3"/>
  <c r="M169" i="3"/>
  <c r="R168" i="3"/>
  <c r="Q168" i="3"/>
  <c r="P168" i="3"/>
  <c r="O168" i="3"/>
  <c r="N168" i="3"/>
  <c r="M168" i="3"/>
  <c r="R167" i="3"/>
  <c r="Q167" i="3"/>
  <c r="P167" i="3"/>
  <c r="O167" i="3"/>
  <c r="N167" i="3"/>
  <c r="M167" i="3"/>
  <c r="R166" i="3"/>
  <c r="P166" i="3"/>
  <c r="O166" i="3"/>
  <c r="Q166" i="3" s="1"/>
  <c r="N166" i="3"/>
  <c r="M166" i="3"/>
  <c r="R165" i="3"/>
  <c r="Q165" i="3"/>
  <c r="P165" i="3"/>
  <c r="O165" i="3"/>
  <c r="N165" i="3"/>
  <c r="M165" i="3"/>
  <c r="R164" i="3"/>
  <c r="Q164" i="3"/>
  <c r="P164" i="3"/>
  <c r="O164" i="3"/>
  <c r="N164" i="3"/>
  <c r="M164" i="3"/>
  <c r="R163" i="3"/>
  <c r="Q163" i="3"/>
  <c r="P163" i="3"/>
  <c r="O163" i="3"/>
  <c r="N163" i="3"/>
  <c r="M163" i="3"/>
  <c r="R162" i="3"/>
  <c r="P162" i="3"/>
  <c r="O162" i="3"/>
  <c r="Q162" i="3" s="1"/>
  <c r="N162" i="3"/>
  <c r="M162" i="3"/>
  <c r="R161" i="3"/>
  <c r="Q161" i="3"/>
  <c r="P161" i="3"/>
  <c r="O161" i="3"/>
  <c r="N161" i="3"/>
  <c r="M161" i="3"/>
  <c r="R160" i="3"/>
  <c r="Q160" i="3"/>
  <c r="P160" i="3"/>
  <c r="O160" i="3"/>
  <c r="N160" i="3"/>
  <c r="M160" i="3"/>
  <c r="R159" i="3"/>
  <c r="Q159" i="3"/>
  <c r="P159" i="3"/>
  <c r="O159" i="3"/>
  <c r="N159" i="3"/>
  <c r="M159" i="3"/>
  <c r="R158" i="3"/>
  <c r="P158" i="3"/>
  <c r="O158" i="3"/>
  <c r="Q158" i="3" s="1"/>
  <c r="N158" i="3"/>
  <c r="M158" i="3"/>
  <c r="R157" i="3"/>
  <c r="Q157" i="3"/>
  <c r="P157" i="3"/>
  <c r="O157" i="3"/>
  <c r="N157" i="3"/>
  <c r="M157" i="3"/>
  <c r="R156" i="3"/>
  <c r="Q156" i="3"/>
  <c r="P156" i="3"/>
  <c r="O156" i="3"/>
  <c r="N156" i="3"/>
  <c r="M156" i="3"/>
  <c r="R155" i="3"/>
  <c r="Q155" i="3"/>
  <c r="P155" i="3"/>
  <c r="O155" i="3"/>
  <c r="N155" i="3"/>
  <c r="M155" i="3"/>
  <c r="R154" i="3"/>
  <c r="P154" i="3"/>
  <c r="O154" i="3"/>
  <c r="Q154" i="3" s="1"/>
  <c r="N154" i="3"/>
  <c r="M154" i="3"/>
  <c r="R153" i="3"/>
  <c r="Q153" i="3"/>
  <c r="P153" i="3"/>
  <c r="O153" i="3"/>
  <c r="N153" i="3"/>
  <c r="M153" i="3"/>
  <c r="R152" i="3"/>
  <c r="Q152" i="3"/>
  <c r="P152" i="3"/>
  <c r="O152" i="3"/>
  <c r="N152" i="3"/>
  <c r="M152" i="3"/>
  <c r="R151" i="3"/>
  <c r="Q151" i="3"/>
  <c r="P151" i="3"/>
  <c r="O151" i="3"/>
  <c r="N151" i="3"/>
  <c r="M151" i="3"/>
  <c r="R150" i="3"/>
  <c r="P150" i="3"/>
  <c r="O150" i="3"/>
  <c r="Q150" i="3" s="1"/>
  <c r="N150" i="3"/>
  <c r="M150" i="3"/>
  <c r="R149" i="3"/>
  <c r="Q149" i="3"/>
  <c r="P149" i="3"/>
  <c r="O149" i="3"/>
  <c r="N149" i="3"/>
  <c r="M149" i="3"/>
  <c r="C37" i="2" s="1"/>
  <c r="D37" i="2" s="1"/>
  <c r="R148" i="3"/>
  <c r="Q148" i="3"/>
  <c r="P148" i="3"/>
  <c r="O148" i="3"/>
  <c r="N148" i="3"/>
  <c r="M148" i="3"/>
  <c r="R147" i="3"/>
  <c r="Q147" i="3"/>
  <c r="P147" i="3"/>
  <c r="O147" i="3"/>
  <c r="N147" i="3"/>
  <c r="M147" i="3"/>
  <c r="R146" i="3"/>
  <c r="P146" i="3"/>
  <c r="O146" i="3"/>
  <c r="Q146" i="3" s="1"/>
  <c r="N146" i="3"/>
  <c r="M146" i="3"/>
  <c r="R145" i="3"/>
  <c r="Q145" i="3"/>
  <c r="P145" i="3"/>
  <c r="O145" i="3"/>
  <c r="N145" i="3"/>
  <c r="M145" i="3"/>
  <c r="R144" i="3"/>
  <c r="Q144" i="3"/>
  <c r="P144" i="3"/>
  <c r="O144" i="3"/>
  <c r="N144" i="3"/>
  <c r="M144" i="3"/>
  <c r="R143" i="3"/>
  <c r="Q143" i="3"/>
  <c r="P143" i="3"/>
  <c r="O143" i="3"/>
  <c r="N143" i="3"/>
  <c r="M143" i="3"/>
  <c r="R142" i="3"/>
  <c r="P142" i="3"/>
  <c r="O142" i="3"/>
  <c r="Q142" i="3" s="1"/>
  <c r="N142" i="3"/>
  <c r="M142" i="3"/>
  <c r="R141" i="3"/>
  <c r="Q141" i="3"/>
  <c r="P141" i="3"/>
  <c r="O141" i="3"/>
  <c r="N141" i="3"/>
  <c r="M141" i="3"/>
  <c r="R140" i="3"/>
  <c r="Q140" i="3"/>
  <c r="P140" i="3"/>
  <c r="O140" i="3"/>
  <c r="N140" i="3"/>
  <c r="M140" i="3"/>
  <c r="R139" i="3"/>
  <c r="Q139" i="3"/>
  <c r="P139" i="3"/>
  <c r="O139" i="3"/>
  <c r="N139" i="3"/>
  <c r="M139" i="3"/>
  <c r="R138" i="3"/>
  <c r="P138" i="3"/>
  <c r="O138" i="3"/>
  <c r="Q138" i="3" s="1"/>
  <c r="N138" i="3"/>
  <c r="M138" i="3"/>
  <c r="R137" i="3"/>
  <c r="Q137" i="3"/>
  <c r="P137" i="3"/>
  <c r="O137" i="3"/>
  <c r="N137" i="3"/>
  <c r="M137" i="3"/>
  <c r="R136" i="3"/>
  <c r="Q136" i="3"/>
  <c r="P136" i="3"/>
  <c r="O136" i="3"/>
  <c r="N136" i="3"/>
  <c r="M136" i="3"/>
  <c r="R135" i="3"/>
  <c r="Q135" i="3"/>
  <c r="P135" i="3"/>
  <c r="O135" i="3"/>
  <c r="N135" i="3"/>
  <c r="M135" i="3"/>
  <c r="R134" i="3"/>
  <c r="P134" i="3"/>
  <c r="O134" i="3"/>
  <c r="Q134" i="3" s="1"/>
  <c r="N134" i="3"/>
  <c r="M134" i="3"/>
  <c r="R133" i="3"/>
  <c r="Q133" i="3"/>
  <c r="P133" i="3"/>
  <c r="O133" i="3"/>
  <c r="N133" i="3"/>
  <c r="M133" i="3"/>
  <c r="R132" i="3"/>
  <c r="Q132" i="3"/>
  <c r="P132" i="3"/>
  <c r="O132" i="3"/>
  <c r="N132" i="3"/>
  <c r="M132" i="3"/>
  <c r="R131" i="3"/>
  <c r="Q131" i="3"/>
  <c r="P131" i="3"/>
  <c r="O131" i="3"/>
  <c r="N131" i="3"/>
  <c r="M131" i="3"/>
  <c r="R130" i="3"/>
  <c r="P130" i="3"/>
  <c r="O130" i="3"/>
  <c r="Q130" i="3" s="1"/>
  <c r="N130" i="3"/>
  <c r="M130" i="3"/>
  <c r="R129" i="3"/>
  <c r="Q129" i="3"/>
  <c r="P129" i="3"/>
  <c r="O129" i="3"/>
  <c r="N129" i="3"/>
  <c r="M129" i="3"/>
  <c r="R128" i="3"/>
  <c r="Q128" i="3"/>
  <c r="P128" i="3"/>
  <c r="O128" i="3"/>
  <c r="N128" i="3"/>
  <c r="M128" i="3"/>
  <c r="R127" i="3"/>
  <c r="Q127" i="3"/>
  <c r="P127" i="3"/>
  <c r="O127" i="3"/>
  <c r="N127" i="3"/>
  <c r="M127" i="3"/>
  <c r="R126" i="3"/>
  <c r="P126" i="3"/>
  <c r="O126" i="3"/>
  <c r="Q126" i="3" s="1"/>
  <c r="N126" i="3"/>
  <c r="M126" i="3"/>
  <c r="R125" i="3"/>
  <c r="Q125" i="3"/>
  <c r="P125" i="3"/>
  <c r="O125" i="3"/>
  <c r="N125" i="3"/>
  <c r="M125" i="3"/>
  <c r="R124" i="3"/>
  <c r="Q124" i="3"/>
  <c r="P124" i="3"/>
  <c r="O124" i="3"/>
  <c r="N124" i="3"/>
  <c r="M124" i="3"/>
  <c r="R123" i="3"/>
  <c r="Q123" i="3"/>
  <c r="P123" i="3"/>
  <c r="O123" i="3"/>
  <c r="N123" i="3"/>
  <c r="M123" i="3"/>
  <c r="R122" i="3"/>
  <c r="P122" i="3"/>
  <c r="O122" i="3"/>
  <c r="Q122" i="3" s="1"/>
  <c r="N122" i="3"/>
  <c r="M122" i="3"/>
  <c r="R121" i="3"/>
  <c r="Q121" i="3"/>
  <c r="P121" i="3"/>
  <c r="O121" i="3"/>
  <c r="N121" i="3"/>
  <c r="M121" i="3"/>
  <c r="R120" i="3"/>
  <c r="Q120" i="3"/>
  <c r="P120" i="3"/>
  <c r="O120" i="3"/>
  <c r="N120" i="3"/>
  <c r="M120" i="3"/>
  <c r="R119" i="3"/>
  <c r="Q119" i="3"/>
  <c r="P119" i="3"/>
  <c r="O119" i="3"/>
  <c r="N119" i="3"/>
  <c r="M119" i="3"/>
  <c r="R118" i="3"/>
  <c r="P118" i="3"/>
  <c r="O118" i="3"/>
  <c r="Q118" i="3" s="1"/>
  <c r="N118" i="3"/>
  <c r="M118" i="3"/>
  <c r="R117" i="3"/>
  <c r="Q117" i="3"/>
  <c r="P117" i="3"/>
  <c r="O117" i="3"/>
  <c r="N117" i="3"/>
  <c r="M117" i="3"/>
  <c r="B8" i="2" s="1"/>
  <c r="J8" i="2" s="1"/>
  <c r="K8" i="2" s="1"/>
  <c r="R116" i="3"/>
  <c r="Q116" i="3"/>
  <c r="P116" i="3"/>
  <c r="O116" i="3"/>
  <c r="N116" i="3"/>
  <c r="M116" i="3"/>
  <c r="R115" i="3"/>
  <c r="Q115" i="3"/>
  <c r="P115" i="3"/>
  <c r="O115" i="3"/>
  <c r="N115" i="3"/>
  <c r="M115" i="3"/>
  <c r="R114" i="3"/>
  <c r="P114" i="3"/>
  <c r="O114" i="3"/>
  <c r="Q114" i="3" s="1"/>
  <c r="N114" i="3"/>
  <c r="M114" i="3"/>
  <c r="R113" i="3"/>
  <c r="Q113" i="3"/>
  <c r="P113" i="3"/>
  <c r="O113" i="3"/>
  <c r="N113" i="3"/>
  <c r="M113" i="3"/>
  <c r="R112" i="3"/>
  <c r="Q112" i="3"/>
  <c r="P112" i="3"/>
  <c r="O112" i="3"/>
  <c r="N112" i="3"/>
  <c r="M112" i="3"/>
  <c r="R111" i="3"/>
  <c r="Q111" i="3"/>
  <c r="P111" i="3"/>
  <c r="O111" i="3"/>
  <c r="N111" i="3"/>
  <c r="M111" i="3"/>
  <c r="R110" i="3"/>
  <c r="P110" i="3"/>
  <c r="O110" i="3"/>
  <c r="Q110" i="3" s="1"/>
  <c r="N110" i="3"/>
  <c r="M110" i="3"/>
  <c r="R109" i="3"/>
  <c r="Q109" i="3"/>
  <c r="P109" i="3"/>
  <c r="O109" i="3"/>
  <c r="N109" i="3"/>
  <c r="M109" i="3"/>
  <c r="R108" i="3"/>
  <c r="Q108" i="3"/>
  <c r="P108" i="3"/>
  <c r="O108" i="3"/>
  <c r="N108" i="3"/>
  <c r="M108" i="3"/>
  <c r="R107" i="3"/>
  <c r="Q107" i="3"/>
  <c r="P107" i="3"/>
  <c r="O107" i="3"/>
  <c r="N107" i="3"/>
  <c r="M107" i="3"/>
  <c r="R106" i="3"/>
  <c r="P106" i="3"/>
  <c r="O106" i="3"/>
  <c r="Q106" i="3" s="1"/>
  <c r="N106" i="3"/>
  <c r="M106" i="3"/>
  <c r="R105" i="3"/>
  <c r="Q105" i="3"/>
  <c r="P105" i="3"/>
  <c r="O105" i="3"/>
  <c r="N105" i="3"/>
  <c r="M105" i="3"/>
  <c r="R104" i="3"/>
  <c r="Q104" i="3"/>
  <c r="P104" i="3"/>
  <c r="O104" i="3"/>
  <c r="N104" i="3"/>
  <c r="M104" i="3"/>
  <c r="R103" i="3"/>
  <c r="Q103" i="3"/>
  <c r="P103" i="3"/>
  <c r="O103" i="3"/>
  <c r="N103" i="3"/>
  <c r="M103" i="3"/>
  <c r="R102" i="3"/>
  <c r="P102" i="3"/>
  <c r="O102" i="3"/>
  <c r="Q102" i="3" s="1"/>
  <c r="N102" i="3"/>
  <c r="M102" i="3"/>
  <c r="R101" i="3"/>
  <c r="Q101" i="3"/>
  <c r="P101" i="3"/>
  <c r="O101" i="3"/>
  <c r="N101" i="3"/>
  <c r="M101" i="3"/>
  <c r="R100" i="3"/>
  <c r="Q100" i="3"/>
  <c r="P100" i="3"/>
  <c r="O100" i="3"/>
  <c r="N100" i="3"/>
  <c r="M100" i="3"/>
  <c r="R99" i="3"/>
  <c r="Q99" i="3"/>
  <c r="P99" i="3"/>
  <c r="O99" i="3"/>
  <c r="N99" i="3"/>
  <c r="M99" i="3"/>
  <c r="R98" i="3"/>
  <c r="P98" i="3"/>
  <c r="O98" i="3"/>
  <c r="Q98" i="3" s="1"/>
  <c r="N98" i="3"/>
  <c r="M98" i="3"/>
  <c r="R97" i="3"/>
  <c r="Q97" i="3"/>
  <c r="P97" i="3"/>
  <c r="O97" i="3"/>
  <c r="N97" i="3"/>
  <c r="M97" i="3"/>
  <c r="R96" i="3"/>
  <c r="Q96" i="3"/>
  <c r="P96" i="3"/>
  <c r="O96" i="3"/>
  <c r="N96" i="3"/>
  <c r="M96" i="3"/>
  <c r="R95" i="3"/>
  <c r="Q95" i="3"/>
  <c r="P95" i="3"/>
  <c r="O95" i="3"/>
  <c r="N95" i="3"/>
  <c r="M95" i="3"/>
  <c r="R94" i="3"/>
  <c r="P94" i="3"/>
  <c r="O94" i="3"/>
  <c r="Q94" i="3" s="1"/>
  <c r="N94" i="3"/>
  <c r="M94" i="3"/>
  <c r="R93" i="3"/>
  <c r="Q93" i="3"/>
  <c r="P93" i="3"/>
  <c r="O93" i="3"/>
  <c r="N93" i="3"/>
  <c r="M93" i="3"/>
  <c r="R92" i="3"/>
  <c r="Q92" i="3"/>
  <c r="P92" i="3"/>
  <c r="O92" i="3"/>
  <c r="N92" i="3"/>
  <c r="M92" i="3"/>
  <c r="R91" i="3"/>
  <c r="Q91" i="3"/>
  <c r="P91" i="3"/>
  <c r="O91" i="3"/>
  <c r="N91" i="3"/>
  <c r="M91" i="3"/>
  <c r="R90" i="3"/>
  <c r="P90" i="3"/>
  <c r="O90" i="3"/>
  <c r="Q90" i="3" s="1"/>
  <c r="N90" i="3"/>
  <c r="M90" i="3"/>
  <c r="R89" i="3"/>
  <c r="Q89" i="3"/>
  <c r="P89" i="3"/>
  <c r="O89" i="3"/>
  <c r="N89" i="3"/>
  <c r="M89" i="3"/>
  <c r="R88" i="3"/>
  <c r="Q88" i="3"/>
  <c r="P88" i="3"/>
  <c r="O88" i="3"/>
  <c r="N88" i="3"/>
  <c r="M88" i="3"/>
  <c r="R87" i="3"/>
  <c r="Q87" i="3"/>
  <c r="P87" i="3"/>
  <c r="O87" i="3"/>
  <c r="N87" i="3"/>
  <c r="M87" i="3"/>
  <c r="R86" i="3"/>
  <c r="P86" i="3"/>
  <c r="O86" i="3"/>
  <c r="Q86" i="3" s="1"/>
  <c r="N86" i="3"/>
  <c r="M86" i="3"/>
  <c r="R85" i="3"/>
  <c r="Q85" i="3"/>
  <c r="P85" i="3"/>
  <c r="O85" i="3"/>
  <c r="N85" i="3"/>
  <c r="M85" i="3"/>
  <c r="F10" i="2" s="1"/>
  <c r="R84" i="3"/>
  <c r="Q84" i="3"/>
  <c r="P84" i="3"/>
  <c r="O84" i="3"/>
  <c r="N84" i="3"/>
  <c r="M84" i="3"/>
  <c r="R83" i="3"/>
  <c r="Q83" i="3"/>
  <c r="P83" i="3"/>
  <c r="O83" i="3"/>
  <c r="N83" i="3"/>
  <c r="M83" i="3"/>
  <c r="R82" i="3"/>
  <c r="P82" i="3"/>
  <c r="O82" i="3"/>
  <c r="Q82" i="3" s="1"/>
  <c r="N82" i="3"/>
  <c r="M82" i="3"/>
  <c r="R81" i="3"/>
  <c r="Q81" i="3"/>
  <c r="P81" i="3"/>
  <c r="O81" i="3"/>
  <c r="N81" i="3"/>
  <c r="M81" i="3"/>
  <c r="R80" i="3"/>
  <c r="Q80" i="3"/>
  <c r="P80" i="3"/>
  <c r="O80" i="3"/>
  <c r="N80" i="3"/>
  <c r="M80" i="3"/>
  <c r="R79" i="3"/>
  <c r="Q79" i="3"/>
  <c r="P79" i="3"/>
  <c r="O79" i="3"/>
  <c r="N79" i="3"/>
  <c r="M79" i="3"/>
  <c r="R78" i="3"/>
  <c r="P78" i="3"/>
  <c r="O78" i="3"/>
  <c r="Q78" i="3" s="1"/>
  <c r="N78" i="3"/>
  <c r="M78" i="3"/>
  <c r="R77" i="3"/>
  <c r="Q77" i="3"/>
  <c r="P77" i="3"/>
  <c r="O77" i="3"/>
  <c r="N77" i="3"/>
  <c r="M77" i="3"/>
  <c r="R76" i="3"/>
  <c r="Q76" i="3"/>
  <c r="P76" i="3"/>
  <c r="O76" i="3"/>
  <c r="N76" i="3"/>
  <c r="M76" i="3"/>
  <c r="R75" i="3"/>
  <c r="Q75" i="3"/>
  <c r="P75" i="3"/>
  <c r="O75" i="3"/>
  <c r="N75" i="3"/>
  <c r="M75" i="3"/>
  <c r="R74" i="3"/>
  <c r="P74" i="3"/>
  <c r="O74" i="3"/>
  <c r="Q74" i="3" s="1"/>
  <c r="N74" i="3"/>
  <c r="M74" i="3"/>
  <c r="R73" i="3"/>
  <c r="Q73" i="3"/>
  <c r="P73" i="3"/>
  <c r="O73" i="3"/>
  <c r="N73" i="3"/>
  <c r="M73" i="3"/>
  <c r="R72" i="3"/>
  <c r="Q72" i="3"/>
  <c r="P72" i="3"/>
  <c r="O72" i="3"/>
  <c r="N72" i="3"/>
  <c r="M72" i="3"/>
  <c r="R71" i="3"/>
  <c r="Q71" i="3"/>
  <c r="P71" i="3"/>
  <c r="O71" i="3"/>
  <c r="N71" i="3"/>
  <c r="M71" i="3"/>
  <c r="R70" i="3"/>
  <c r="P70" i="3"/>
  <c r="O70" i="3"/>
  <c r="Q70" i="3" s="1"/>
  <c r="N70" i="3"/>
  <c r="M70" i="3"/>
  <c r="R69" i="3"/>
  <c r="Q69" i="3"/>
  <c r="P69" i="3"/>
  <c r="O69" i="3"/>
  <c r="N69" i="3"/>
  <c r="M69" i="3"/>
  <c r="R68" i="3"/>
  <c r="Q68" i="3"/>
  <c r="P68" i="3"/>
  <c r="O68" i="3"/>
  <c r="N68" i="3"/>
  <c r="M68" i="3"/>
  <c r="R67" i="3"/>
  <c r="Q67" i="3"/>
  <c r="P67" i="3"/>
  <c r="O67" i="3"/>
  <c r="N67" i="3"/>
  <c r="M67" i="3"/>
  <c r="R66" i="3"/>
  <c r="P66" i="3"/>
  <c r="O66" i="3"/>
  <c r="Q66" i="3" s="1"/>
  <c r="N66" i="3"/>
  <c r="M66" i="3"/>
  <c r="R65" i="3"/>
  <c r="Q65" i="3"/>
  <c r="P65" i="3"/>
  <c r="O65" i="3"/>
  <c r="N65" i="3"/>
  <c r="M65" i="3"/>
  <c r="R64" i="3"/>
  <c r="Q64" i="3"/>
  <c r="P64" i="3"/>
  <c r="O64" i="3"/>
  <c r="N64" i="3"/>
  <c r="M64" i="3"/>
  <c r="R63" i="3"/>
  <c r="Q63" i="3"/>
  <c r="P63" i="3"/>
  <c r="O63" i="3"/>
  <c r="N63" i="3"/>
  <c r="M63" i="3"/>
  <c r="R62" i="3"/>
  <c r="P62" i="3"/>
  <c r="O62" i="3"/>
  <c r="Q62" i="3" s="1"/>
  <c r="N62" i="3"/>
  <c r="M62" i="3"/>
  <c r="R61" i="3"/>
  <c r="Q61" i="3"/>
  <c r="P61" i="3"/>
  <c r="O61" i="3"/>
  <c r="N61" i="3"/>
  <c r="M61" i="3"/>
  <c r="R60" i="3"/>
  <c r="Q60" i="3"/>
  <c r="P60" i="3"/>
  <c r="O60" i="3"/>
  <c r="N60" i="3"/>
  <c r="M60" i="3"/>
  <c r="R59" i="3"/>
  <c r="Q59" i="3"/>
  <c r="P59" i="3"/>
  <c r="O59" i="3"/>
  <c r="N59" i="3"/>
  <c r="M59" i="3"/>
  <c r="R58" i="3"/>
  <c r="P58" i="3"/>
  <c r="O58" i="3"/>
  <c r="Q58" i="3" s="1"/>
  <c r="N58" i="3"/>
  <c r="M58" i="3"/>
  <c r="R57" i="3"/>
  <c r="Q57" i="3"/>
  <c r="P57" i="3"/>
  <c r="O57" i="3"/>
  <c r="N57" i="3"/>
  <c r="M57" i="3"/>
  <c r="R56" i="3"/>
  <c r="Q56" i="3"/>
  <c r="P56" i="3"/>
  <c r="O56" i="3"/>
  <c r="N56" i="3"/>
  <c r="M56" i="3"/>
  <c r="R55" i="3"/>
  <c r="Q55" i="3"/>
  <c r="P55" i="3"/>
  <c r="O55" i="3"/>
  <c r="N55" i="3"/>
  <c r="M55" i="3"/>
  <c r="R54" i="3"/>
  <c r="P54" i="3"/>
  <c r="O54" i="3"/>
  <c r="Q54" i="3" s="1"/>
  <c r="N54" i="3"/>
  <c r="M54" i="3"/>
  <c r="R53" i="3"/>
  <c r="Q53" i="3"/>
  <c r="P53" i="3"/>
  <c r="O53" i="3"/>
  <c r="N53" i="3"/>
  <c r="M53" i="3"/>
  <c r="F9" i="2" s="1"/>
  <c r="R52" i="3"/>
  <c r="Q52" i="3"/>
  <c r="P52" i="3"/>
  <c r="O52" i="3"/>
  <c r="N52" i="3"/>
  <c r="M52" i="3"/>
  <c r="R51" i="3"/>
  <c r="Q51" i="3"/>
  <c r="P51" i="3"/>
  <c r="O51" i="3"/>
  <c r="N51" i="3"/>
  <c r="M51" i="3"/>
  <c r="R50" i="3"/>
  <c r="P50" i="3"/>
  <c r="O50" i="3"/>
  <c r="Q50" i="3" s="1"/>
  <c r="N50" i="3"/>
  <c r="M50" i="3"/>
  <c r="R49" i="3"/>
  <c r="Q49" i="3"/>
  <c r="P49" i="3"/>
  <c r="O49" i="3"/>
  <c r="N49" i="3"/>
  <c r="M49" i="3"/>
  <c r="R48" i="3"/>
  <c r="Q48" i="3"/>
  <c r="P48" i="3"/>
  <c r="O48" i="3"/>
  <c r="N48" i="3"/>
  <c r="M48" i="3"/>
  <c r="R47" i="3"/>
  <c r="Q47" i="3"/>
  <c r="P47" i="3"/>
  <c r="O47" i="3"/>
  <c r="N47" i="3"/>
  <c r="M47" i="3"/>
  <c r="R46" i="3"/>
  <c r="P46" i="3"/>
  <c r="O46" i="3"/>
  <c r="Q46" i="3" s="1"/>
  <c r="N46" i="3"/>
  <c r="M46" i="3"/>
  <c r="R45" i="3"/>
  <c r="Q45" i="3"/>
  <c r="P45" i="3"/>
  <c r="O45" i="3"/>
  <c r="N45" i="3"/>
  <c r="M45" i="3"/>
  <c r="R44" i="3"/>
  <c r="Q44" i="3"/>
  <c r="P44" i="3"/>
  <c r="O44" i="3"/>
  <c r="N44" i="3"/>
  <c r="M44" i="3"/>
  <c r="R43" i="3"/>
  <c r="Q43" i="3"/>
  <c r="P43" i="3"/>
  <c r="O43" i="3"/>
  <c r="N43" i="3"/>
  <c r="M43" i="3"/>
  <c r="R42" i="3"/>
  <c r="P42" i="3"/>
  <c r="O42" i="3"/>
  <c r="Q42" i="3" s="1"/>
  <c r="N42" i="3"/>
  <c r="M42" i="3"/>
  <c r="R41" i="3"/>
  <c r="Q41" i="3"/>
  <c r="P41" i="3"/>
  <c r="O41" i="3"/>
  <c r="N41" i="3"/>
  <c r="M41" i="3"/>
  <c r="B41" i="2" s="1"/>
  <c r="R40" i="3"/>
  <c r="Q40" i="3"/>
  <c r="P40" i="3"/>
  <c r="O40" i="3"/>
  <c r="N40" i="3"/>
  <c r="M40" i="3"/>
  <c r="R39" i="3"/>
  <c r="Q39" i="3"/>
  <c r="P39" i="3"/>
  <c r="O39" i="3"/>
  <c r="N39" i="3"/>
  <c r="M39" i="3"/>
  <c r="R38" i="3"/>
  <c r="P38" i="3"/>
  <c r="O38" i="3"/>
  <c r="Q38" i="3" s="1"/>
  <c r="N38" i="3"/>
  <c r="M38" i="3"/>
  <c r="R37" i="3"/>
  <c r="Q37" i="3"/>
  <c r="P37" i="3"/>
  <c r="O37" i="3"/>
  <c r="N37" i="3"/>
  <c r="M37" i="3"/>
  <c r="R36" i="3"/>
  <c r="Q36" i="3"/>
  <c r="P36" i="3"/>
  <c r="O36" i="3"/>
  <c r="N36" i="3"/>
  <c r="M36" i="3"/>
  <c r="R35" i="3"/>
  <c r="Q35" i="3"/>
  <c r="P35" i="3"/>
  <c r="O35" i="3"/>
  <c r="N35" i="3"/>
  <c r="M35" i="3"/>
  <c r="R34" i="3"/>
  <c r="P34" i="3"/>
  <c r="O34" i="3"/>
  <c r="Q34" i="3" s="1"/>
  <c r="N34" i="3"/>
  <c r="M34" i="3"/>
  <c r="R33" i="3"/>
  <c r="Q33" i="3"/>
  <c r="P33" i="3"/>
  <c r="O33" i="3"/>
  <c r="N33" i="3"/>
  <c r="M33" i="3"/>
  <c r="R32" i="3"/>
  <c r="Q32" i="3"/>
  <c r="P32" i="3"/>
  <c r="O32" i="3"/>
  <c r="N32" i="3"/>
  <c r="M32" i="3"/>
  <c r="R31" i="3"/>
  <c r="Q31" i="3"/>
  <c r="P31" i="3"/>
  <c r="O31" i="3"/>
  <c r="N31" i="3"/>
  <c r="M31" i="3"/>
  <c r="R30" i="3"/>
  <c r="P30" i="3"/>
  <c r="O30" i="3"/>
  <c r="Q30" i="3" s="1"/>
  <c r="N30" i="3"/>
  <c r="M30" i="3"/>
  <c r="R29" i="3"/>
  <c r="Q29" i="3"/>
  <c r="P29" i="3"/>
  <c r="O29" i="3"/>
  <c r="N29" i="3"/>
  <c r="M29" i="3"/>
  <c r="R28" i="3"/>
  <c r="Q28" i="3"/>
  <c r="P28" i="3"/>
  <c r="O28" i="3"/>
  <c r="N28" i="3"/>
  <c r="M28" i="3"/>
  <c r="R27" i="3"/>
  <c r="Q27" i="3"/>
  <c r="P27" i="3"/>
  <c r="O27" i="3"/>
  <c r="N27" i="3"/>
  <c r="M27" i="3"/>
  <c r="R26" i="3"/>
  <c r="P26" i="3"/>
  <c r="O26" i="3"/>
  <c r="Q26" i="3" s="1"/>
  <c r="N26" i="3"/>
  <c r="M26" i="3"/>
  <c r="R25" i="3"/>
  <c r="Q25" i="3"/>
  <c r="P25" i="3"/>
  <c r="O25" i="3"/>
  <c r="N25" i="3"/>
  <c r="M25" i="3"/>
  <c r="R24" i="3"/>
  <c r="Q24" i="3"/>
  <c r="P24" i="3"/>
  <c r="O24" i="3"/>
  <c r="N24" i="3"/>
  <c r="M24" i="3"/>
  <c r="R23" i="3"/>
  <c r="Q23" i="3"/>
  <c r="P23" i="3"/>
  <c r="O23" i="3"/>
  <c r="N23" i="3"/>
  <c r="M23" i="3"/>
  <c r="R22" i="3"/>
  <c r="P22" i="3"/>
  <c r="O22" i="3"/>
  <c r="Q22" i="3" s="1"/>
  <c r="N22" i="3"/>
  <c r="M22" i="3"/>
  <c r="R21" i="3"/>
  <c r="Q21" i="3"/>
  <c r="P21" i="3"/>
  <c r="O21" i="3"/>
  <c r="N21" i="3"/>
  <c r="M21" i="3"/>
  <c r="B50" i="2" s="1"/>
  <c r="R20" i="3"/>
  <c r="Q20" i="3"/>
  <c r="P20" i="3"/>
  <c r="O20" i="3"/>
  <c r="N20" i="3"/>
  <c r="M20" i="3"/>
  <c r="R19" i="3"/>
  <c r="Q19" i="3"/>
  <c r="P19" i="3"/>
  <c r="O19" i="3"/>
  <c r="N19" i="3"/>
  <c r="M19" i="3"/>
  <c r="R18" i="3"/>
  <c r="P18" i="3"/>
  <c r="O18" i="3"/>
  <c r="Q18" i="3" s="1"/>
  <c r="N18" i="3"/>
  <c r="M18" i="3"/>
  <c r="R17" i="3"/>
  <c r="Q17" i="3"/>
  <c r="P17" i="3"/>
  <c r="O17" i="3"/>
  <c r="N17" i="3"/>
  <c r="M17" i="3"/>
  <c r="R16" i="3"/>
  <c r="Q16" i="3"/>
  <c r="P16" i="3"/>
  <c r="O16" i="3"/>
  <c r="N16" i="3"/>
  <c r="M16" i="3"/>
  <c r="R15" i="3"/>
  <c r="Q15" i="3"/>
  <c r="P15" i="3"/>
  <c r="O15" i="3"/>
  <c r="N15" i="3"/>
  <c r="M15" i="3"/>
  <c r="R14" i="3"/>
  <c r="P14" i="3"/>
  <c r="O14" i="3"/>
  <c r="Q14" i="3" s="1"/>
  <c r="N14" i="3"/>
  <c r="M14" i="3"/>
  <c r="R13" i="3"/>
  <c r="Q13" i="3"/>
  <c r="P13" i="3"/>
  <c r="O13" i="3"/>
  <c r="N13" i="3"/>
  <c r="M13" i="3"/>
  <c r="R12" i="3"/>
  <c r="Q12" i="3"/>
  <c r="P12" i="3"/>
  <c r="O12" i="3"/>
  <c r="N12" i="3"/>
  <c r="M12" i="3"/>
  <c r="R11" i="3"/>
  <c r="Q11" i="3"/>
  <c r="P11" i="3"/>
  <c r="O11" i="3"/>
  <c r="N11" i="3"/>
  <c r="M11" i="3"/>
  <c r="R10" i="3"/>
  <c r="P10" i="3"/>
  <c r="O10" i="3"/>
  <c r="Q10" i="3" s="1"/>
  <c r="N10" i="3"/>
  <c r="M10" i="3"/>
  <c r="R9" i="3"/>
  <c r="Q9" i="3"/>
  <c r="P9" i="3"/>
  <c r="O9" i="3"/>
  <c r="N9" i="3"/>
  <c r="M9" i="3"/>
  <c r="C39" i="2" s="1"/>
  <c r="D39" i="2" s="1"/>
  <c r="R8" i="3"/>
  <c r="Q8" i="3"/>
  <c r="P8" i="3"/>
  <c r="O8" i="3"/>
  <c r="N8" i="3"/>
  <c r="M8" i="3"/>
  <c r="R7" i="3"/>
  <c r="Q7" i="3"/>
  <c r="B32" i="2" s="1"/>
  <c r="P7" i="3"/>
  <c r="O7" i="3"/>
  <c r="N7" i="3"/>
  <c r="M7" i="3"/>
  <c r="R6" i="3"/>
  <c r="P6" i="3"/>
  <c r="O6" i="3"/>
  <c r="Q6" i="3" s="1"/>
  <c r="N6" i="3"/>
  <c r="M6" i="3"/>
  <c r="R5" i="3"/>
  <c r="Q5" i="3"/>
  <c r="P5" i="3"/>
  <c r="O5" i="3"/>
  <c r="N5" i="3"/>
  <c r="M5" i="3"/>
  <c r="R4" i="3"/>
  <c r="Q4" i="3"/>
  <c r="P4" i="3"/>
  <c r="O4" i="3"/>
  <c r="N4" i="3"/>
  <c r="M4" i="3"/>
  <c r="R3" i="3"/>
  <c r="Q3" i="3"/>
  <c r="P3" i="3"/>
  <c r="B20" i="2" s="1"/>
  <c r="O3" i="3"/>
  <c r="N3" i="3"/>
  <c r="M3" i="3"/>
  <c r="R2" i="3"/>
  <c r="P2" i="3"/>
  <c r="O2" i="3"/>
  <c r="Q2" i="3" s="1"/>
  <c r="N2" i="3"/>
  <c r="M2" i="3"/>
  <c r="D75" i="2"/>
  <c r="C75" i="2"/>
  <c r="B75" i="2"/>
  <c r="A75" i="2"/>
  <c r="C74" i="2"/>
  <c r="B74" i="2"/>
  <c r="D74" i="2" s="1"/>
  <c r="A74" i="2"/>
  <c r="C73" i="2"/>
  <c r="B73" i="2"/>
  <c r="D73" i="2" s="1"/>
  <c r="A73" i="2"/>
  <c r="C72" i="2"/>
  <c r="B72" i="2"/>
  <c r="D72" i="2" s="1"/>
  <c r="A72" i="2"/>
  <c r="C71" i="2"/>
  <c r="B71" i="2"/>
  <c r="D71" i="2" s="1"/>
  <c r="A71" i="2"/>
  <c r="C70" i="2"/>
  <c r="B70" i="2"/>
  <c r="D70" i="2" s="1"/>
  <c r="A70" i="2"/>
  <c r="C69" i="2"/>
  <c r="B69" i="2"/>
  <c r="D69" i="2" s="1"/>
  <c r="A69" i="2"/>
  <c r="C68" i="2"/>
  <c r="B68" i="2"/>
  <c r="D68" i="2" s="1"/>
  <c r="A68" i="2"/>
  <c r="C67" i="2"/>
  <c r="B67" i="2"/>
  <c r="D67" i="2" s="1"/>
  <c r="A67" i="2"/>
  <c r="C66" i="2"/>
  <c r="B66" i="2"/>
  <c r="D66" i="2" s="1"/>
  <c r="A66" i="2"/>
  <c r="C65" i="2"/>
  <c r="B65" i="2"/>
  <c r="D65" i="2" s="1"/>
  <c r="A65" i="2"/>
  <c r="C64" i="2"/>
  <c r="B64" i="2"/>
  <c r="D64" i="2" s="1"/>
  <c r="A64" i="2"/>
  <c r="B55" i="2"/>
  <c r="B49" i="2"/>
  <c r="C40" i="2"/>
  <c r="D40" i="2" s="1"/>
  <c r="B40" i="2"/>
  <c r="B39" i="2"/>
  <c r="C38" i="2"/>
  <c r="B37" i="2"/>
  <c r="B30" i="2"/>
  <c r="B22" i="2"/>
  <c r="G14" i="2"/>
  <c r="I13" i="2"/>
  <c r="H13" i="2"/>
  <c r="D13" i="2"/>
  <c r="I12" i="2"/>
  <c r="H12" i="2"/>
  <c r="F12" i="2"/>
  <c r="D12" i="2"/>
  <c r="C12" i="2"/>
  <c r="E12" i="2" s="1"/>
  <c r="B12" i="2"/>
  <c r="J12" i="2" s="1"/>
  <c r="K12" i="2" s="1"/>
  <c r="I11" i="2"/>
  <c r="J11" i="2" s="1"/>
  <c r="H11" i="2"/>
  <c r="K11" i="2" s="1"/>
  <c r="F11" i="2"/>
  <c r="E11" i="2"/>
  <c r="D11" i="2"/>
  <c r="C11" i="2"/>
  <c r="B11" i="2"/>
  <c r="I10" i="2"/>
  <c r="H10" i="2"/>
  <c r="G10" i="2"/>
  <c r="B10" i="2"/>
  <c r="J10" i="2" s="1"/>
  <c r="I9" i="2"/>
  <c r="H9" i="2"/>
  <c r="D9" i="2"/>
  <c r="I8" i="2"/>
  <c r="H8" i="2"/>
  <c r="F8" i="2"/>
  <c r="C8" i="2"/>
  <c r="I7" i="2"/>
  <c r="H7" i="2"/>
  <c r="B2" i="2"/>
  <c r="B1" i="2"/>
  <c r="A9" i="1"/>
  <c r="G6" i="1"/>
  <c r="D6" i="1"/>
  <c r="G3" i="1"/>
  <c r="E8" i="2" l="1"/>
  <c r="K10" i="2"/>
  <c r="C59" i="2"/>
  <c r="F7" i="2"/>
  <c r="D8" i="2"/>
  <c r="B9" i="2"/>
  <c r="J9" i="2" s="1"/>
  <c r="K9" i="2" s="1"/>
  <c r="B13" i="2"/>
  <c r="J13" i="2" s="1"/>
  <c r="K13" i="2" s="1"/>
  <c r="H14" i="2"/>
  <c r="B21" i="2"/>
  <c r="B29" i="2"/>
  <c r="B56" i="2"/>
  <c r="C55" i="2" s="1"/>
  <c r="G7" i="2"/>
  <c r="C9" i="2"/>
  <c r="E9" i="2" s="1"/>
  <c r="G11" i="2"/>
  <c r="C13" i="2"/>
  <c r="E13" i="2" s="1"/>
  <c r="I14" i="2"/>
  <c r="C41" i="2"/>
  <c r="D41" i="2" s="1"/>
  <c r="B46" i="2"/>
  <c r="D9" i="1"/>
  <c r="B3" i="2"/>
  <c r="A6" i="1" s="1"/>
  <c r="G9" i="1" s="1"/>
  <c r="B58" i="2"/>
  <c r="C10" i="2"/>
  <c r="E10" i="2" s="1"/>
  <c r="G12" i="2"/>
  <c r="F13" i="2"/>
  <c r="B23" i="2"/>
  <c r="C23" i="2" s="1"/>
  <c r="B31" i="2"/>
  <c r="B47" i="2"/>
  <c r="J7" i="2"/>
  <c r="K7" i="2" s="1"/>
  <c r="D10" i="2"/>
  <c r="B19" i="2"/>
  <c r="J9" i="1"/>
  <c r="G9" i="2"/>
  <c r="G13" i="2"/>
  <c r="B57" i="2"/>
  <c r="C57" i="2" s="1"/>
  <c r="G8" i="2"/>
  <c r="D7" i="2"/>
  <c r="D14" i="2" s="1"/>
  <c r="F14" i="2"/>
  <c r="B28" i="2"/>
  <c r="C28" i="2" s="1"/>
  <c r="B48" i="2"/>
  <c r="C48" i="2" s="1"/>
  <c r="B38" i="2"/>
  <c r="D38" i="2" s="1"/>
  <c r="C21" i="2" l="1"/>
  <c r="C20" i="2"/>
  <c r="C50" i="2"/>
  <c r="C49" i="2"/>
  <c r="C19" i="2"/>
  <c r="C30" i="2"/>
  <c r="J6" i="1"/>
  <c r="C58" i="2"/>
  <c r="C47" i="2"/>
  <c r="C56" i="2"/>
  <c r="C32" i="2"/>
  <c r="C14" i="2"/>
  <c r="E7" i="2"/>
  <c r="B14" i="2"/>
  <c r="A12" i="1" s="1"/>
  <c r="C31" i="2"/>
  <c r="C46" i="2"/>
  <c r="C29" i="2"/>
  <c r="C22" i="2"/>
  <c r="J14" i="2" l="1"/>
  <c r="K14" i="2" s="1"/>
  <c r="A13" i="1" s="1"/>
  <c r="E14" i="2"/>
  <c r="A14" i="1" s="1"/>
</calcChain>
</file>

<file path=xl/sharedStrings.xml><?xml version="1.0" encoding="utf-8"?>
<sst xmlns="http://schemas.openxmlformats.org/spreadsheetml/2006/main" count="2090" uniqueCount="689">
  <si>
    <t>HR Analytics Dashboard</t>
  </si>
  <si>
    <t>Workforce headcount, diversity, tenure, pay and attrition  |  Sample data  |  KPI cards respond to the department filter</t>
  </si>
  <si>
    <t>Department filter:</t>
  </si>
  <si>
    <t>All</t>
  </si>
  <si>
    <t>As of:</t>
  </si>
  <si>
    <t>ACTIVE HEADCOUNT</t>
  </si>
  <si>
    <t>NEW HIRES (LAST 12M)</t>
  </si>
  <si>
    <t>EXITS (LAST 12M)</t>
  </si>
  <si>
    <t>ATTRITION RATE (12M)</t>
  </si>
  <si>
    <t>AVG TENURE (YEARS)</t>
  </si>
  <si>
    <t>AVG ANNUAL SALARY (INR)</t>
  </si>
  <si>
    <t>FEMALE REPRESENTATION</t>
  </si>
  <si>
    <t>AVG PERFORMANCE RATING</t>
  </si>
  <si>
    <t>Key insights</t>
  </si>
  <si>
    <t>Dept filter criteria</t>
  </si>
  <si>
    <t>Filtered headcount at window start</t>
  </si>
  <si>
    <t>Filtered active headcount</t>
  </si>
  <si>
    <t>Headcount &amp; attrition by department</t>
  </si>
  <si>
    <t>Department</t>
  </si>
  <si>
    <t>Active HC</t>
  </si>
  <si>
    <t>Female</t>
  </si>
  <si>
    <t>Male</t>
  </si>
  <si>
    <t>Female %</t>
  </si>
  <si>
    <t>Avg Salary (INR)</t>
  </si>
  <si>
    <t>Avg Tenure (yrs)</t>
  </si>
  <si>
    <t>Exits (12m)</t>
  </si>
  <si>
    <t>HC at Window Start</t>
  </si>
  <si>
    <t>Average HC</t>
  </si>
  <si>
    <t>Attrition % (12m)</t>
  </si>
  <si>
    <t>Sales</t>
  </si>
  <si>
    <t>Customer Support</t>
  </si>
  <si>
    <t>IT</t>
  </si>
  <si>
    <t>Operations</t>
  </si>
  <si>
    <t>Finance</t>
  </si>
  <si>
    <t>HR</t>
  </si>
  <si>
    <t>Marketing</t>
  </si>
  <si>
    <t>Total</t>
  </si>
  <si>
    <t>Age distribution (active)</t>
  </si>
  <si>
    <t>Age Band</t>
  </si>
  <si>
    <t>Active Employees</t>
  </si>
  <si>
    <t>% of Total</t>
  </si>
  <si>
    <t>Under 25</t>
  </si>
  <si>
    <t>25 to 34</t>
  </si>
  <si>
    <t>35 to 44</t>
  </si>
  <si>
    <t>45 to 54</t>
  </si>
  <si>
    <t>55 and above</t>
  </si>
  <si>
    <t>Tenure distribution (active)</t>
  </si>
  <si>
    <t>Tenure Band</t>
  </si>
  <si>
    <t>Under 1 yr</t>
  </si>
  <si>
    <t>1 to 3 yrs</t>
  </si>
  <si>
    <t>3 to 5 yrs</t>
  </si>
  <si>
    <t>5 to 10 yrs</t>
  </si>
  <si>
    <t>10+ yrs</t>
  </si>
  <si>
    <t>Average salary by job level and gender (active)</t>
  </si>
  <si>
    <t>Job Level</t>
  </si>
  <si>
    <t>Avg Salary - Female</t>
  </si>
  <si>
    <t>Avg Salary - Male</t>
  </si>
  <si>
    <t>Gap % (Male over Female)</t>
  </si>
  <si>
    <t>Entry</t>
  </si>
  <si>
    <t>Associate</t>
  </si>
  <si>
    <t>Senior</t>
  </si>
  <si>
    <t>Manager</t>
  </si>
  <si>
    <t>Director</t>
  </si>
  <si>
    <t>Active headcount by location</t>
  </si>
  <si>
    <t>Location</t>
  </si>
  <si>
    <t>Kolkata</t>
  </si>
  <si>
    <t>Bengaluru</t>
  </si>
  <si>
    <t>Mumbai</t>
  </si>
  <si>
    <t>Delhi NCR</t>
  </si>
  <si>
    <t>Hyderabad</t>
  </si>
  <si>
    <t>Performance rating distribution (active)</t>
  </si>
  <si>
    <t>Rating</t>
  </si>
  <si>
    <t>Hires vs exits - last 12 months</t>
  </si>
  <si>
    <t>Month</t>
  </si>
  <si>
    <t>Hires</t>
  </si>
  <si>
    <t>Exits</t>
  </si>
  <si>
    <t>Net Change</t>
  </si>
  <si>
    <t>Emp ID</t>
  </si>
  <si>
    <t>Name</t>
  </si>
  <si>
    <t>Gender</t>
  </si>
  <si>
    <t>Hire Date</t>
  </si>
  <si>
    <t>Exit Date</t>
  </si>
  <si>
    <t>Exit Reason</t>
  </si>
  <si>
    <t>Age</t>
  </si>
  <si>
    <t>Annual Salary (INR)</t>
  </si>
  <si>
    <t>Performance Rating (1-5)</t>
  </si>
  <si>
    <t>Status</t>
  </si>
  <si>
    <t>Exit Type</t>
  </si>
  <si>
    <t>Tenure (yrs)</t>
  </si>
  <si>
    <t>Compa-Ratio</t>
  </si>
  <si>
    <t>E1001</t>
  </si>
  <si>
    <t>Anjali Bose</t>
  </si>
  <si>
    <t>E1002</t>
  </si>
  <si>
    <t>Suman Sharma</t>
  </si>
  <si>
    <t>E1003</t>
  </si>
  <si>
    <t>Meera Iyer</t>
  </si>
  <si>
    <t>E1004</t>
  </si>
  <si>
    <t>Karan Mukherjee</t>
  </si>
  <si>
    <t>E1005</t>
  </si>
  <si>
    <t>Pranav Banerjee</t>
  </si>
  <si>
    <t>E1006</t>
  </si>
  <si>
    <t>Rituparna Verma</t>
  </si>
  <si>
    <t>E1007</t>
  </si>
  <si>
    <t>Priya Singh</t>
  </si>
  <si>
    <t>E1008</t>
  </si>
  <si>
    <t>Vivek Patel</t>
  </si>
  <si>
    <t>E1009</t>
  </si>
  <si>
    <t>Anjali Reddy</t>
  </si>
  <si>
    <t>E1010</t>
  </si>
  <si>
    <t>Meera Reddy</t>
  </si>
  <si>
    <t>E1011</t>
  </si>
  <si>
    <t>Moumita Singh</t>
  </si>
  <si>
    <t>E1012</t>
  </si>
  <si>
    <t>Abhishek Khan</t>
  </si>
  <si>
    <t>E1013</t>
  </si>
  <si>
    <t>Rajib Reddy</t>
  </si>
  <si>
    <t>E1014</t>
  </si>
  <si>
    <t>Deepak Kapoor</t>
  </si>
  <si>
    <t>E1015</t>
  </si>
  <si>
    <t>Rajib Gupta</t>
  </si>
  <si>
    <t>E1016</t>
  </si>
  <si>
    <t>Riya Bose</t>
  </si>
  <si>
    <t>E1017</t>
  </si>
  <si>
    <t>Rohit Bose</t>
  </si>
  <si>
    <t>E1018</t>
  </si>
  <si>
    <t>Karan Saha</t>
  </si>
  <si>
    <t>E1019</t>
  </si>
  <si>
    <t>Saurabh Sen</t>
  </si>
  <si>
    <t>E1020</t>
  </si>
  <si>
    <t>Saurabh Iyer</t>
  </si>
  <si>
    <t>E1021</t>
  </si>
  <si>
    <t>Swati Bose</t>
  </si>
  <si>
    <t>E1022</t>
  </si>
  <si>
    <t>Rajib Banerjee</t>
  </si>
  <si>
    <t>E1023</t>
  </si>
  <si>
    <t>Sneha Chatterjee</t>
  </si>
  <si>
    <t>E1024</t>
  </si>
  <si>
    <t>Moumita Saha</t>
  </si>
  <si>
    <t>E1025</t>
  </si>
  <si>
    <t>Rajib Singh</t>
  </si>
  <si>
    <t>E1026</t>
  </si>
  <si>
    <t>Deepak Chatterjee</t>
  </si>
  <si>
    <t>E1027</t>
  </si>
  <si>
    <t>Arjun Bose</t>
  </si>
  <si>
    <t>E1028</t>
  </si>
  <si>
    <t>E1029</t>
  </si>
  <si>
    <t>Shreya Reddy</t>
  </si>
  <si>
    <t>Better Compensation</t>
  </si>
  <si>
    <t>E1030</t>
  </si>
  <si>
    <t>Sudipta Roy</t>
  </si>
  <si>
    <t>E1031</t>
  </si>
  <si>
    <t>Manish Singh</t>
  </si>
  <si>
    <t>E1032</t>
  </si>
  <si>
    <t>Sudipta Bose</t>
  </si>
  <si>
    <t>E1033</t>
  </si>
  <si>
    <t>Ishita Mukherjee</t>
  </si>
  <si>
    <t>E1034</t>
  </si>
  <si>
    <t>Shreya Banerjee</t>
  </si>
  <si>
    <t>E1035</t>
  </si>
  <si>
    <t>Kavya Kapoor</t>
  </si>
  <si>
    <t>E1036</t>
  </si>
  <si>
    <t>Moumita Joshi</t>
  </si>
  <si>
    <t>E1037</t>
  </si>
  <si>
    <t>Rahul Mehta</t>
  </si>
  <si>
    <t>E1038</t>
  </si>
  <si>
    <t>Kavya Nair</t>
  </si>
  <si>
    <t>E1039</t>
  </si>
  <si>
    <t>Meera Patel</t>
  </si>
  <si>
    <t>E1040</t>
  </si>
  <si>
    <t>Aditi Verma</t>
  </si>
  <si>
    <t>E1041</t>
  </si>
  <si>
    <t>Deepak Reddy</t>
  </si>
  <si>
    <t>E1042</t>
  </si>
  <si>
    <t>Amit Saha</t>
  </si>
  <si>
    <t>E1043</t>
  </si>
  <si>
    <t>Debjani Gupta</t>
  </si>
  <si>
    <t>Work-Life Balance</t>
  </si>
  <si>
    <t>E1044</t>
  </si>
  <si>
    <t>Vikram Patel</t>
  </si>
  <si>
    <t>E1045</t>
  </si>
  <si>
    <t>E1046</t>
  </si>
  <si>
    <t>Rohit Khan</t>
  </si>
  <si>
    <t>E1047</t>
  </si>
  <si>
    <t>Rituparna Gupta</t>
  </si>
  <si>
    <t>E1048</t>
  </si>
  <si>
    <t>Sneha Iyer</t>
  </si>
  <si>
    <t>E1049</t>
  </si>
  <si>
    <t>Abhishek Roy</t>
  </si>
  <si>
    <t>E1050</t>
  </si>
  <si>
    <t>Isha Sen</t>
  </si>
  <si>
    <t>E1051</t>
  </si>
  <si>
    <t>Performance Termination</t>
  </si>
  <si>
    <t>E1052</t>
  </si>
  <si>
    <t>Siddharth Das</t>
  </si>
  <si>
    <t>E1053</t>
  </si>
  <si>
    <t>Rohit Saha</t>
  </si>
  <si>
    <t>E1054</t>
  </si>
  <si>
    <t>Sourav Khan</t>
  </si>
  <si>
    <t>E1055</t>
  </si>
  <si>
    <t>Soham Sharma</t>
  </si>
  <si>
    <t>E1056</t>
  </si>
  <si>
    <t>Vivek Khan</t>
  </si>
  <si>
    <t>E1057</t>
  </si>
  <si>
    <t>E1058</t>
  </si>
  <si>
    <t>Shreya Bose</t>
  </si>
  <si>
    <t>E1059</t>
  </si>
  <si>
    <t>Moumita Mehta</t>
  </si>
  <si>
    <t>Career Growth</t>
  </si>
  <si>
    <t>E1060</t>
  </si>
  <si>
    <t>Ananya Banerjee</t>
  </si>
  <si>
    <t>E1061</t>
  </si>
  <si>
    <t>Rituparna Kapoor</t>
  </si>
  <si>
    <t>E1062</t>
  </si>
  <si>
    <t>Sneha Reddy</t>
  </si>
  <si>
    <t>Manager Relationship</t>
  </si>
  <si>
    <t>E1063</t>
  </si>
  <si>
    <t>Meera Kapoor</t>
  </si>
  <si>
    <t>Restructuring</t>
  </si>
  <si>
    <t>E1064</t>
  </si>
  <si>
    <t>Swati Chatterjee</t>
  </si>
  <si>
    <t>E1065</t>
  </si>
  <si>
    <t>Amit Bose</t>
  </si>
  <si>
    <t>E1066</t>
  </si>
  <si>
    <t>Priya Patel</t>
  </si>
  <si>
    <t>E1067</t>
  </si>
  <si>
    <t>Ananya Sen</t>
  </si>
  <si>
    <t>E1068</t>
  </si>
  <si>
    <t>Aniket Iyer</t>
  </si>
  <si>
    <t>E1069</t>
  </si>
  <si>
    <t>Vikram Gupta</t>
  </si>
  <si>
    <t>E1070</t>
  </si>
  <si>
    <t>Rahul Banerjee</t>
  </si>
  <si>
    <t>E1071</t>
  </si>
  <si>
    <t>Sourav Nair</t>
  </si>
  <si>
    <t>E1072</t>
  </si>
  <si>
    <t>Abhishek Kapoor</t>
  </si>
  <si>
    <t>E1073</t>
  </si>
  <si>
    <t>Pooja Sen</t>
  </si>
  <si>
    <t>E1074</t>
  </si>
  <si>
    <t>Suman Joshi</t>
  </si>
  <si>
    <t>E1075</t>
  </si>
  <si>
    <t>Siddharth Dutta</t>
  </si>
  <si>
    <t>E1076</t>
  </si>
  <si>
    <t>Swati Mehta</t>
  </si>
  <si>
    <t>E1077</t>
  </si>
  <si>
    <t>Rahul Verma</t>
  </si>
  <si>
    <t>E1078</t>
  </si>
  <si>
    <t>Sourav Joshi</t>
  </si>
  <si>
    <t>E1079</t>
  </si>
  <si>
    <t>Priya Roy</t>
  </si>
  <si>
    <t>E1080</t>
  </si>
  <si>
    <t>Sourav Mukherjee</t>
  </si>
  <si>
    <t>E1081</t>
  </si>
  <si>
    <t>Karan Patel</t>
  </si>
  <si>
    <t>E1082</t>
  </si>
  <si>
    <t>Rajib Ghosh</t>
  </si>
  <si>
    <t>E1083</t>
  </si>
  <si>
    <t>Ananya Ghosh</t>
  </si>
  <si>
    <t>E1084</t>
  </si>
  <si>
    <t>Siddharth Verma</t>
  </si>
  <si>
    <t>E1085</t>
  </si>
  <si>
    <t>Ananya Chatterjee</t>
  </si>
  <si>
    <t>E1086</t>
  </si>
  <si>
    <t>Rajib Kapoor</t>
  </si>
  <si>
    <t>E1087</t>
  </si>
  <si>
    <t>Manish Reddy</t>
  </si>
  <si>
    <t>E1088</t>
  </si>
  <si>
    <t>Neha Bose</t>
  </si>
  <si>
    <t>E1089</t>
  </si>
  <si>
    <t>Isha Verma</t>
  </si>
  <si>
    <t>E1090</t>
  </si>
  <si>
    <t>Neha Chatterjee</t>
  </si>
  <si>
    <t>E1091</t>
  </si>
  <si>
    <t>Anjali Iyer</t>
  </si>
  <si>
    <t>E1092</t>
  </si>
  <si>
    <t>E1093</t>
  </si>
  <si>
    <t>Tanmay Saha</t>
  </si>
  <si>
    <t>E1094</t>
  </si>
  <si>
    <t>Vivek Kapoor</t>
  </si>
  <si>
    <t>E1095</t>
  </si>
  <si>
    <t>E1096</t>
  </si>
  <si>
    <t>Saurabh Banerjee</t>
  </si>
  <si>
    <t>E1097</t>
  </si>
  <si>
    <t>E1098</t>
  </si>
  <si>
    <t>Tanvi Verma</t>
  </si>
  <si>
    <t>E1099</t>
  </si>
  <si>
    <t>Soham Chatterjee</t>
  </si>
  <si>
    <t>E1100</t>
  </si>
  <si>
    <t>Rajib Patel</t>
  </si>
  <si>
    <t>E1101</t>
  </si>
  <si>
    <t>Shreya Ghosh</t>
  </si>
  <si>
    <t>E1102</t>
  </si>
  <si>
    <t>Amit Verma</t>
  </si>
  <si>
    <t>E1103</t>
  </si>
  <si>
    <t>Sneha Kapoor</t>
  </si>
  <si>
    <t>E1104</t>
  </si>
  <si>
    <t>Nisha Chatterjee</t>
  </si>
  <si>
    <t>E1105</t>
  </si>
  <si>
    <t>E1106</t>
  </si>
  <si>
    <t>Ishita Sharma</t>
  </si>
  <si>
    <t>E1107</t>
  </si>
  <si>
    <t>Abhishek Joshi</t>
  </si>
  <si>
    <t>E1108</t>
  </si>
  <si>
    <t>Nisha Dutta</t>
  </si>
  <si>
    <t>E1109</t>
  </si>
  <si>
    <t>Vikram Bose</t>
  </si>
  <si>
    <t>E1110</t>
  </si>
  <si>
    <t>Saurabh Nair</t>
  </si>
  <si>
    <t>E1111</t>
  </si>
  <si>
    <t>Vivek Joshi</t>
  </si>
  <si>
    <t>E1112</t>
  </si>
  <si>
    <t>Shreya Mukherjee</t>
  </si>
  <si>
    <t>E1113</t>
  </si>
  <si>
    <t>Swati Gupta</t>
  </si>
  <si>
    <t>E1114</t>
  </si>
  <si>
    <t>Isha Roy</t>
  </si>
  <si>
    <t>E1115</t>
  </si>
  <si>
    <t>Aniket Sen</t>
  </si>
  <si>
    <t>E1116</t>
  </si>
  <si>
    <t>E1117</t>
  </si>
  <si>
    <t>Rajib Verma</t>
  </si>
  <si>
    <t>E1118</t>
  </si>
  <si>
    <t>Tanmay Dutta</t>
  </si>
  <si>
    <t>E1119</t>
  </si>
  <si>
    <t>Siddharth Patel</t>
  </si>
  <si>
    <t>E1120</t>
  </si>
  <si>
    <t>Meera Banerjee</t>
  </si>
  <si>
    <t>E1121</t>
  </si>
  <si>
    <t>Rahul Dutta</t>
  </si>
  <si>
    <t>E1122</t>
  </si>
  <si>
    <t>Meera Roy</t>
  </si>
  <si>
    <t>E1123</t>
  </si>
  <si>
    <t>Manish Nair</t>
  </si>
  <si>
    <t>E1124</t>
  </si>
  <si>
    <t>Anjali Ghosh</t>
  </si>
  <si>
    <t>E1125</t>
  </si>
  <si>
    <t>Sneha Das</t>
  </si>
  <si>
    <t>E1126</t>
  </si>
  <si>
    <t>Isha Mehta</t>
  </si>
  <si>
    <t>E1127</t>
  </si>
  <si>
    <t>E1128</t>
  </si>
  <si>
    <t>Pranav Gupta</t>
  </si>
  <si>
    <t>E1129</t>
  </si>
  <si>
    <t>Sneha Mehta</t>
  </si>
  <si>
    <t>E1130</t>
  </si>
  <si>
    <t>Neha Kapoor</t>
  </si>
  <si>
    <t>E1131</t>
  </si>
  <si>
    <t>Suman Patel</t>
  </si>
  <si>
    <t>E1132</t>
  </si>
  <si>
    <t>Soham Banerjee</t>
  </si>
  <si>
    <t>E1133</t>
  </si>
  <si>
    <t>Suman Reddy</t>
  </si>
  <si>
    <t>E1134</t>
  </si>
  <si>
    <t>Aniket Ghosh</t>
  </si>
  <si>
    <t>E1135</t>
  </si>
  <si>
    <t>Riya Mehta</t>
  </si>
  <si>
    <t>E1136</t>
  </si>
  <si>
    <t>Manish Mehta</t>
  </si>
  <si>
    <t>E1137</t>
  </si>
  <si>
    <t>Tanvi Dutta</t>
  </si>
  <si>
    <t>E1138</t>
  </si>
  <si>
    <t>Deepak Das</t>
  </si>
  <si>
    <t>E1139</t>
  </si>
  <si>
    <t>Shreya Dutta</t>
  </si>
  <si>
    <t>E1140</t>
  </si>
  <si>
    <t>E1141</t>
  </si>
  <si>
    <t>Anjali Joshi</t>
  </si>
  <si>
    <t>E1142</t>
  </si>
  <si>
    <t>Abhishek Mehta</t>
  </si>
  <si>
    <t>E1143</t>
  </si>
  <si>
    <t>Kavya Gupta</t>
  </si>
  <si>
    <t>E1144</t>
  </si>
  <si>
    <t>E1145</t>
  </si>
  <si>
    <t>Arnab Roy</t>
  </si>
  <si>
    <t>E1146</t>
  </si>
  <si>
    <t>Shreya Singh</t>
  </si>
  <si>
    <t>E1147</t>
  </si>
  <si>
    <t>Priya Nair</t>
  </si>
  <si>
    <t>E1148</t>
  </si>
  <si>
    <t>E1149</t>
  </si>
  <si>
    <t>E1150</t>
  </si>
  <si>
    <t>Riya Banerjee</t>
  </si>
  <si>
    <t>E1151</t>
  </si>
  <si>
    <t>Rajib Iyer</t>
  </si>
  <si>
    <t>E1152</t>
  </si>
  <si>
    <t>Arnab Bose</t>
  </si>
  <si>
    <t>E1153</t>
  </si>
  <si>
    <t>Tanvi Iyer</t>
  </si>
  <si>
    <t>E1154</t>
  </si>
  <si>
    <t>Kavya Chatterjee</t>
  </si>
  <si>
    <t>E1155</t>
  </si>
  <si>
    <t>Sudipta Kapoor</t>
  </si>
  <si>
    <t>E1156</t>
  </si>
  <si>
    <t>Aniket Sharma</t>
  </si>
  <si>
    <t>E1157</t>
  </si>
  <si>
    <t>E1158</t>
  </si>
  <si>
    <t>Shreya Chatterjee</t>
  </si>
  <si>
    <t>E1159</t>
  </si>
  <si>
    <t>Neha Reddy</t>
  </si>
  <si>
    <t>E1160</t>
  </si>
  <si>
    <t>Vivek Iyer</t>
  </si>
  <si>
    <t>E1161</t>
  </si>
  <si>
    <t>Anjali Gupta</t>
  </si>
  <si>
    <t>E1162</t>
  </si>
  <si>
    <t>Tanmay Mehta</t>
  </si>
  <si>
    <t>E1163</t>
  </si>
  <si>
    <t>Priya Mukherjee</t>
  </si>
  <si>
    <t>E1164</t>
  </si>
  <si>
    <t>Vivek Dutta</t>
  </si>
  <si>
    <t>E1165</t>
  </si>
  <si>
    <t>Pooja Bose</t>
  </si>
  <si>
    <t>E1166</t>
  </si>
  <si>
    <t>Rahul Gupta</t>
  </si>
  <si>
    <t>E1167</t>
  </si>
  <si>
    <t>Tanmay Sharma</t>
  </si>
  <si>
    <t>E1168</t>
  </si>
  <si>
    <t>Soham Gupta</t>
  </si>
  <si>
    <t>E1169</t>
  </si>
  <si>
    <t>Moumita Sen</t>
  </si>
  <si>
    <t>E1170</t>
  </si>
  <si>
    <t>E1171</t>
  </si>
  <si>
    <t>Nisha Mukherjee</t>
  </si>
  <si>
    <t>E1172</t>
  </si>
  <si>
    <t>E1173</t>
  </si>
  <si>
    <t>Pooja Saha</t>
  </si>
  <si>
    <t>E1174</t>
  </si>
  <si>
    <t>Aditi Mukherjee</t>
  </si>
  <si>
    <t>E1175</t>
  </si>
  <si>
    <t>Amit Roy</t>
  </si>
  <si>
    <t>E1176</t>
  </si>
  <si>
    <t>Rahul Reddy</t>
  </si>
  <si>
    <t>E1177</t>
  </si>
  <si>
    <t>Pranav Kapoor</t>
  </si>
  <si>
    <t>E1178</t>
  </si>
  <si>
    <t>E1179</t>
  </si>
  <si>
    <t>E1180</t>
  </si>
  <si>
    <t>Abhishek Banerjee</t>
  </si>
  <si>
    <t>E1181</t>
  </si>
  <si>
    <t>Priya Mehta</t>
  </si>
  <si>
    <t>E1182</t>
  </si>
  <si>
    <t>Pranav Ghosh</t>
  </si>
  <si>
    <t>E1183</t>
  </si>
  <si>
    <t>Aniket Mukherjee</t>
  </si>
  <si>
    <t>E1184</t>
  </si>
  <si>
    <t>E1185</t>
  </si>
  <si>
    <t>Tanvi Nair</t>
  </si>
  <si>
    <t>E1186</t>
  </si>
  <si>
    <t>Pranav Saha</t>
  </si>
  <si>
    <t>E1187</t>
  </si>
  <si>
    <t>Amit Gupta</t>
  </si>
  <si>
    <t>E1188</t>
  </si>
  <si>
    <t>Saurabh Das</t>
  </si>
  <si>
    <t>E1189</t>
  </si>
  <si>
    <t>Deepak Verma</t>
  </si>
  <si>
    <t>E1190</t>
  </si>
  <si>
    <t>Vikram Iyer</t>
  </si>
  <si>
    <t>E1191</t>
  </si>
  <si>
    <t>E1192</t>
  </si>
  <si>
    <t>Rituparna Khan</t>
  </si>
  <si>
    <t>E1193</t>
  </si>
  <si>
    <t>E1194</t>
  </si>
  <si>
    <t>Rituparna Iyer</t>
  </si>
  <si>
    <t>E1195</t>
  </si>
  <si>
    <t>Siddharth Singh</t>
  </si>
  <si>
    <t>E1196</t>
  </si>
  <si>
    <t>Rajib Mukherjee</t>
  </si>
  <si>
    <t>E1197</t>
  </si>
  <si>
    <t>Pooja Patel</t>
  </si>
  <si>
    <t>E1198</t>
  </si>
  <si>
    <t>E1199</t>
  </si>
  <si>
    <t>Ishita Banerjee</t>
  </si>
  <si>
    <t>E1200</t>
  </si>
  <si>
    <t>Tanvi Das</t>
  </si>
  <si>
    <t>E1201</t>
  </si>
  <si>
    <t>Suman Banerjee</t>
  </si>
  <si>
    <t>E1202</t>
  </si>
  <si>
    <t>Pooja Joshi</t>
  </si>
  <si>
    <t>E1203</t>
  </si>
  <si>
    <t>Manish Chatterjee</t>
  </si>
  <si>
    <t>E1204</t>
  </si>
  <si>
    <t>Priya Joshi</t>
  </si>
  <si>
    <t>E1205</t>
  </si>
  <si>
    <t>Soham Roy</t>
  </si>
  <si>
    <t>E1206</t>
  </si>
  <si>
    <t>Vivek Reddy</t>
  </si>
  <si>
    <t>E1207</t>
  </si>
  <si>
    <t>Ishita Dutta</t>
  </si>
  <si>
    <t>E1208</t>
  </si>
  <si>
    <t>E1209</t>
  </si>
  <si>
    <t>Pranav Bose</t>
  </si>
  <si>
    <t>E1210</t>
  </si>
  <si>
    <t>Pranav Khan</t>
  </si>
  <si>
    <t>E1211</t>
  </si>
  <si>
    <t>Manish Patel</t>
  </si>
  <si>
    <t>E1212</t>
  </si>
  <si>
    <t>Abhishek Dutta</t>
  </si>
  <si>
    <t>E1213</t>
  </si>
  <si>
    <t>Swati Dutta</t>
  </si>
  <si>
    <t>E1214</t>
  </si>
  <si>
    <t>E1215</t>
  </si>
  <si>
    <t>Pooja Chatterjee</t>
  </si>
  <si>
    <t>E1216</t>
  </si>
  <si>
    <t>E1217</t>
  </si>
  <si>
    <t>Tanmay Khan</t>
  </si>
  <si>
    <t>E1218</t>
  </si>
  <si>
    <t>Karan Iyer</t>
  </si>
  <si>
    <t>E1219</t>
  </si>
  <si>
    <t>Priya Gupta</t>
  </si>
  <si>
    <t>E1220</t>
  </si>
  <si>
    <t>Nisha Bose</t>
  </si>
  <si>
    <t>E1221</t>
  </si>
  <si>
    <t>Moumita Dutta</t>
  </si>
  <si>
    <t>E1222</t>
  </si>
  <si>
    <t>E1223</t>
  </si>
  <si>
    <t>E1224</t>
  </si>
  <si>
    <t>Ananya Dutta</t>
  </si>
  <si>
    <t>E1225</t>
  </si>
  <si>
    <t>Tanvi Kapoor</t>
  </si>
  <si>
    <t>E1226</t>
  </si>
  <si>
    <t>Karan Dutta</t>
  </si>
  <si>
    <t>E1227</t>
  </si>
  <si>
    <t>Kavya Reddy</t>
  </si>
  <si>
    <t>E1228</t>
  </si>
  <si>
    <t>Siddharth Mukherjee</t>
  </si>
  <si>
    <t>E1229</t>
  </si>
  <si>
    <t>Isha Mukherjee</t>
  </si>
  <si>
    <t>E1230</t>
  </si>
  <si>
    <t>Nisha Verma</t>
  </si>
  <si>
    <t>E1231</t>
  </si>
  <si>
    <t>Isha Bose</t>
  </si>
  <si>
    <t>E1232</t>
  </si>
  <si>
    <t>E1233</t>
  </si>
  <si>
    <t>Debjani Sen</t>
  </si>
  <si>
    <t>E1234</t>
  </si>
  <si>
    <t>Arjun Dutta</t>
  </si>
  <si>
    <t>E1235</t>
  </si>
  <si>
    <t>Amit Singh</t>
  </si>
  <si>
    <t>E1236</t>
  </si>
  <si>
    <t>Pranav Joshi</t>
  </si>
  <si>
    <t>E1237</t>
  </si>
  <si>
    <t>Sneha Khan</t>
  </si>
  <si>
    <t>E1238</t>
  </si>
  <si>
    <t>E1239</t>
  </si>
  <si>
    <t>E1240</t>
  </si>
  <si>
    <t>Arjun Roy</t>
  </si>
  <si>
    <t>E1241</t>
  </si>
  <si>
    <t>Rajib Bose</t>
  </si>
  <si>
    <t>E1242</t>
  </si>
  <si>
    <t>Vikram Mehta</t>
  </si>
  <si>
    <t>E1243</t>
  </si>
  <si>
    <t>Neha Saha</t>
  </si>
  <si>
    <t>E1244</t>
  </si>
  <si>
    <t>Rahul Sen</t>
  </si>
  <si>
    <t>E1245</t>
  </si>
  <si>
    <t>Rajib Joshi</t>
  </si>
  <si>
    <t>E1246</t>
  </si>
  <si>
    <t>E1247</t>
  </si>
  <si>
    <t>Vikram Joshi</t>
  </si>
  <si>
    <t>E1248</t>
  </si>
  <si>
    <t>Kavya Sen</t>
  </si>
  <si>
    <t>E1249</t>
  </si>
  <si>
    <t>E1250</t>
  </si>
  <si>
    <t>Pranav Sen</t>
  </si>
  <si>
    <t>E1251</t>
  </si>
  <si>
    <t>E1252</t>
  </si>
  <si>
    <t>E1253</t>
  </si>
  <si>
    <t>Riya Patel</t>
  </si>
  <si>
    <t>E1254</t>
  </si>
  <si>
    <t>Shreya Khan</t>
  </si>
  <si>
    <t>E1255</t>
  </si>
  <si>
    <t>E1256</t>
  </si>
  <si>
    <t>E1257</t>
  </si>
  <si>
    <t>E1258</t>
  </si>
  <si>
    <t>Karan Roy</t>
  </si>
  <si>
    <t>E1259</t>
  </si>
  <si>
    <t>E1260</t>
  </si>
  <si>
    <t>Rohit Gupta</t>
  </si>
  <si>
    <t>E1261</t>
  </si>
  <si>
    <t>Kavya Joshi</t>
  </si>
  <si>
    <t>E1262</t>
  </si>
  <si>
    <t>Moumita Mukherjee</t>
  </si>
  <si>
    <t>E1263</t>
  </si>
  <si>
    <t>Suman Nair</t>
  </si>
  <si>
    <t>E1264</t>
  </si>
  <si>
    <t>E1265</t>
  </si>
  <si>
    <t>Nisha Sen</t>
  </si>
  <si>
    <t>E1266</t>
  </si>
  <si>
    <t>Soham Kapoor</t>
  </si>
  <si>
    <t>E1267</t>
  </si>
  <si>
    <t>E1268</t>
  </si>
  <si>
    <t>Pranav Reddy</t>
  </si>
  <si>
    <t>E1269</t>
  </si>
  <si>
    <t>E1270</t>
  </si>
  <si>
    <t>Soham Das</t>
  </si>
  <si>
    <t>E1271</t>
  </si>
  <si>
    <t>Vikram Verma</t>
  </si>
  <si>
    <t>E1272</t>
  </si>
  <si>
    <t>E1273</t>
  </si>
  <si>
    <t>E1274</t>
  </si>
  <si>
    <t>Meera Sen</t>
  </si>
  <si>
    <t>E1275</t>
  </si>
  <si>
    <t>Riya Saha</t>
  </si>
  <si>
    <t>E1276</t>
  </si>
  <si>
    <t>Sourav Bose</t>
  </si>
  <si>
    <t>E1277</t>
  </si>
  <si>
    <t>E1278</t>
  </si>
  <si>
    <t>Anjali Banerjee</t>
  </si>
  <si>
    <t>E1279</t>
  </si>
  <si>
    <t>Rohit Mukherjee</t>
  </si>
  <si>
    <t>E1280</t>
  </si>
  <si>
    <t>Karan Bose</t>
  </si>
  <si>
    <t>E1281</t>
  </si>
  <si>
    <t>Sudipta Khan</t>
  </si>
  <si>
    <t>E1282</t>
  </si>
  <si>
    <t>E1283</t>
  </si>
  <si>
    <t>Arjun Reddy</t>
  </si>
  <si>
    <t>E1284</t>
  </si>
  <si>
    <t>Pooja Gupta</t>
  </si>
  <si>
    <t>E1285</t>
  </si>
  <si>
    <t>Saurabh Sharma</t>
  </si>
  <si>
    <t>E1286</t>
  </si>
  <si>
    <t>Pranav Iyer</t>
  </si>
  <si>
    <t>E1287</t>
  </si>
  <si>
    <t>Neha Patel</t>
  </si>
  <si>
    <t>E1288</t>
  </si>
  <si>
    <t>Isha Dutta</t>
  </si>
  <si>
    <t>E1289</t>
  </si>
  <si>
    <t>Saurabh Mukherjee</t>
  </si>
  <si>
    <t>E1290</t>
  </si>
  <si>
    <t>E1291</t>
  </si>
  <si>
    <t>Abhishek Singh</t>
  </si>
  <si>
    <t>E1292</t>
  </si>
  <si>
    <t>Karan Khan</t>
  </si>
  <si>
    <t>E1293</t>
  </si>
  <si>
    <t>Kavya Bose</t>
  </si>
  <si>
    <t>E1294</t>
  </si>
  <si>
    <t>Sudipta Iyer</t>
  </si>
  <si>
    <t>E1295</t>
  </si>
  <si>
    <t>Tanvi Mukherjee</t>
  </si>
  <si>
    <t>E1296</t>
  </si>
  <si>
    <t>Isha Chatterjee</t>
  </si>
  <si>
    <t>E1297</t>
  </si>
  <si>
    <t>Suman Ghosh</t>
  </si>
  <si>
    <t>E1298</t>
  </si>
  <si>
    <t>Rohit Nair</t>
  </si>
  <si>
    <t>E1299</t>
  </si>
  <si>
    <t>Kavya Mukherjee</t>
  </si>
  <si>
    <t>E1300</t>
  </si>
  <si>
    <t>Arnab Mehta</t>
  </si>
  <si>
    <t>E1301</t>
  </si>
  <si>
    <t>Vikram Kapoor</t>
  </si>
  <si>
    <t>Relocation</t>
  </si>
  <si>
    <t>E1302</t>
  </si>
  <si>
    <t>E1303</t>
  </si>
  <si>
    <t>Swati Saha</t>
  </si>
  <si>
    <t>E1304</t>
  </si>
  <si>
    <t>Ishita Kapoor</t>
  </si>
  <si>
    <t>E1305</t>
  </si>
  <si>
    <t>Pooja Kapoor</t>
  </si>
  <si>
    <t>E1306</t>
  </si>
  <si>
    <t>Deepak Patel</t>
  </si>
  <si>
    <t>E1307</t>
  </si>
  <si>
    <t>Nisha Reddy</t>
  </si>
  <si>
    <t>E1308</t>
  </si>
  <si>
    <t>E1309</t>
  </si>
  <si>
    <t>E1310</t>
  </si>
  <si>
    <t>E1311</t>
  </si>
  <si>
    <t>Manish Roy</t>
  </si>
  <si>
    <t>E1312</t>
  </si>
  <si>
    <t>Arjun Gupta</t>
  </si>
  <si>
    <t>E1313</t>
  </si>
  <si>
    <t>Suman Khan</t>
  </si>
  <si>
    <t>E1314</t>
  </si>
  <si>
    <t>Manish Joshi</t>
  </si>
  <si>
    <t>E1315</t>
  </si>
  <si>
    <t>Amit Patel</t>
  </si>
  <si>
    <t>E1316</t>
  </si>
  <si>
    <t>Amit Kapoor</t>
  </si>
  <si>
    <t>E1317</t>
  </si>
  <si>
    <t>Soham Sen</t>
  </si>
  <si>
    <t>E1318</t>
  </si>
  <si>
    <t>E1319</t>
  </si>
  <si>
    <t>Karan Gupta</t>
  </si>
  <si>
    <t>E1320</t>
  </si>
  <si>
    <t>Assumptions &amp; Method</t>
  </si>
  <si>
    <t>Blue text = editable input  |  Black = formula  |  Yellow fill = key assumption</t>
  </si>
  <si>
    <t>As-of (reporting) date</t>
  </si>
  <si>
    <t>12-month window start</t>
  </si>
  <si>
    <t>Salary Midpoint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</si>
</sst>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%"/>
    <numFmt numFmtId="166" formatCode="0.0"/>
    <numFmt numFmtId="167" formatCode="mmm\-yy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9"/>
      <color rgb="FF595959"/>
      <name val="Arial"/>
      <charset val="1"/>
    </font>
    <font>
      <b/>
      <sz val="20"/>
      <color rgb="FF1F3864"/>
      <name val="Arial"/>
      <charset val="1"/>
    </font>
    <font>
      <b/>
      <sz val="12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8" fillId="0" borderId="0" xfId="0" applyFont="1" applyBorder="1" applyAlignment="1">
      <alignment vertical="center" wrapText="1"/>
    </xf>
    <xf numFmtId="2" fontId="6" fillId="4" borderId="0" xfId="0" applyNumberFormat="1" applyFont="1" applyFill="1" applyBorder="1" applyAlignment="1">
      <alignment horizontal="center" vertical="center"/>
    </xf>
    <xf numFmtId="166" fontId="6" fillId="4" borderId="0" xfId="0" applyNumberFormat="1" applyFont="1" applyFill="1" applyBorder="1" applyAlignment="1">
      <alignment horizontal="center" vertical="center"/>
    </xf>
    <xf numFmtId="165" fontId="6" fillId="4" borderId="0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Border="1"/>
    <xf numFmtId="0" fontId="1" fillId="2" borderId="0" xfId="0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5" fontId="8" fillId="0" borderId="1" xfId="0" applyNumberFormat="1" applyFont="1" applyBorder="1"/>
    <xf numFmtId="3" fontId="8" fillId="0" borderId="1" xfId="0" applyNumberFormat="1" applyFont="1" applyBorder="1"/>
    <xf numFmtId="166" fontId="8" fillId="0" borderId="1" xfId="0" applyNumberFormat="1" applyFont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3" fontId="3" fillId="5" borderId="1" xfId="0" applyNumberFormat="1" applyFont="1" applyFill="1" applyBorder="1"/>
    <xf numFmtId="166" fontId="3" fillId="5" borderId="1" xfId="0" applyNumberFormat="1" applyFont="1" applyFill="1" applyBorder="1"/>
    <xf numFmtId="0" fontId="8" fillId="0" borderId="1" xfId="0" applyFont="1" applyBorder="1" applyAlignment="1">
      <alignment horizontal="left" vertical="center"/>
    </xf>
    <xf numFmtId="167" fontId="8" fillId="0" borderId="1" xfId="0" applyNumberFormat="1" applyFont="1" applyBorder="1" applyAlignment="1">
      <alignment horizontal="left" vertical="center"/>
    </xf>
    <xf numFmtId="0" fontId="10" fillId="0" borderId="0" xfId="0" applyFont="1"/>
    <xf numFmtId="164" fontId="10" fillId="0" borderId="0" xfId="0" applyNumberFormat="1" applyFont="1"/>
    <xf numFmtId="3" fontId="10" fillId="0" borderId="0" xfId="0" applyNumberFormat="1" applyFont="1"/>
    <xf numFmtId="166" fontId="8" fillId="0" borderId="0" xfId="0" applyNumberFormat="1" applyFont="1"/>
    <xf numFmtId="2" fontId="8" fillId="0" borderId="0" xfId="0" applyNumberFormat="1" applyFont="1"/>
    <xf numFmtId="164" fontId="10" fillId="3" borderId="0" xfId="0" applyNumberFormat="1" applyFont="1" applyFill="1"/>
    <xf numFmtId="164" fontId="8" fillId="0" borderId="0" xfId="0" applyNumberFormat="1" applyFont="1"/>
    <xf numFmtId="3" fontId="10" fillId="0" borderId="1" xfId="0" applyNumberFormat="1" applyFont="1" applyBorder="1"/>
    <xf numFmtId="0" fontId="2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Active 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Analysis!$B$6</c:f>
              <c:strCache>
                <c:ptCount val="1"/>
                <c:pt idx="0">
                  <c:v>Active HC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Analysis!$A$7:$A$13</c:f>
              <c:strCache>
                <c:ptCount val="7"/>
                <c:pt idx="0">
                  <c:v>Sales</c:v>
                </c:pt>
                <c:pt idx="1">
                  <c:v>Customer Support</c:v>
                </c:pt>
                <c:pt idx="2">
                  <c:v>IT</c:v>
                </c:pt>
                <c:pt idx="3">
                  <c:v>Operations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</c:strCache>
            </c:strRef>
          </c:cat>
          <c:val>
            <c:numRef>
              <c:f>Analysis!$B$7:$B$13</c:f>
              <c:numCache>
                <c:formatCode>General</c:formatCode>
                <c:ptCount val="7"/>
                <c:pt idx="0">
                  <c:v>52</c:v>
                </c:pt>
                <c:pt idx="1">
                  <c:v>42</c:v>
                </c:pt>
                <c:pt idx="2">
                  <c:v>47</c:v>
                </c:pt>
                <c:pt idx="3">
                  <c:v>44</c:v>
                </c:pt>
                <c:pt idx="4">
                  <c:v>28</c:v>
                </c:pt>
                <c:pt idx="5">
                  <c:v>19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2-45FA-9AF5-55C3283B5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9243"/>
        <c:axId val="16283760"/>
      </c:barChart>
      <c:catAx>
        <c:axId val="208792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283760"/>
        <c:crosses val="autoZero"/>
        <c:auto val="1"/>
        <c:lblAlgn val="ctr"/>
        <c:lblOffset val="100"/>
        <c:noMultiLvlLbl val="0"/>
      </c:catAx>
      <c:valAx>
        <c:axId val="162837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792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Gender mix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Analysis!$C$6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Analysis!$A$7:$A$13</c:f>
              <c:strCache>
                <c:ptCount val="7"/>
                <c:pt idx="0">
                  <c:v>Sales</c:v>
                </c:pt>
                <c:pt idx="1">
                  <c:v>Customer Support</c:v>
                </c:pt>
                <c:pt idx="2">
                  <c:v>IT</c:v>
                </c:pt>
                <c:pt idx="3">
                  <c:v>Operations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</c:strCache>
            </c:strRef>
          </c:cat>
          <c:val>
            <c:numRef>
              <c:f>Analysis!$C$7:$C$13</c:f>
              <c:numCache>
                <c:formatCode>General</c:formatCode>
                <c:ptCount val="7"/>
                <c:pt idx="0">
                  <c:v>23</c:v>
                </c:pt>
                <c:pt idx="1">
                  <c:v>20</c:v>
                </c:pt>
                <c:pt idx="2">
                  <c:v>13</c:v>
                </c:pt>
                <c:pt idx="3">
                  <c:v>15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2-4453-A34B-9A9736128823}"/>
            </c:ext>
          </c:extLst>
        </c:ser>
        <c:ser>
          <c:idx val="1"/>
          <c:order val="1"/>
          <c:tx>
            <c:strRef>
              <c:f>Analysis!$D$6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Analysis!$A$7:$A$13</c:f>
              <c:strCache>
                <c:ptCount val="7"/>
                <c:pt idx="0">
                  <c:v>Sales</c:v>
                </c:pt>
                <c:pt idx="1">
                  <c:v>Customer Support</c:v>
                </c:pt>
                <c:pt idx="2">
                  <c:v>IT</c:v>
                </c:pt>
                <c:pt idx="3">
                  <c:v>Operations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</c:strCache>
            </c:strRef>
          </c:cat>
          <c:val>
            <c:numRef>
              <c:f>Analysis!$D$7:$D$13</c:f>
              <c:numCache>
                <c:formatCode>General</c:formatCode>
                <c:ptCount val="7"/>
                <c:pt idx="0">
                  <c:v>29</c:v>
                </c:pt>
                <c:pt idx="1">
                  <c:v>22</c:v>
                </c:pt>
                <c:pt idx="2">
                  <c:v>34</c:v>
                </c:pt>
                <c:pt idx="3">
                  <c:v>29</c:v>
                </c:pt>
                <c:pt idx="4">
                  <c:v>10</c:v>
                </c:pt>
                <c:pt idx="5">
                  <c:v>2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2-4453-A34B-9A973612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29187"/>
        <c:axId val="72610405"/>
      </c:barChart>
      <c:catAx>
        <c:axId val="487291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10405"/>
        <c:crosses val="autoZero"/>
        <c:auto val="1"/>
        <c:lblAlgn val="ctr"/>
        <c:lblOffset val="100"/>
        <c:noMultiLvlLbl val="0"/>
      </c:catAx>
      <c:valAx>
        <c:axId val="72610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291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(12m)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Analysis!$K$6</c:f>
              <c:strCache>
                <c:ptCount val="1"/>
                <c:pt idx="0">
                  <c:v>Attrition % (12m)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Analysis!$A$7:$A$13</c:f>
              <c:strCache>
                <c:ptCount val="7"/>
                <c:pt idx="0">
                  <c:v>Sales</c:v>
                </c:pt>
                <c:pt idx="1">
                  <c:v>Customer Support</c:v>
                </c:pt>
                <c:pt idx="2">
                  <c:v>IT</c:v>
                </c:pt>
                <c:pt idx="3">
                  <c:v>Operations</c:v>
                </c:pt>
                <c:pt idx="4">
                  <c:v>Finance</c:v>
                </c:pt>
                <c:pt idx="5">
                  <c:v>HR</c:v>
                </c:pt>
                <c:pt idx="6">
                  <c:v>Marketing</c:v>
                </c:pt>
              </c:strCache>
            </c:strRef>
          </c:cat>
          <c:val>
            <c:numRef>
              <c:f>Analysis!$K$7:$K$13</c:f>
              <c:numCache>
                <c:formatCode>0.0%</c:formatCode>
                <c:ptCount val="7"/>
                <c:pt idx="0">
                  <c:v>0.32727272727272727</c:v>
                </c:pt>
                <c:pt idx="1">
                  <c:v>0.38297872340425532</c:v>
                </c:pt>
                <c:pt idx="2">
                  <c:v>0.17391304347826086</c:v>
                </c:pt>
                <c:pt idx="3">
                  <c:v>0.14117647058823529</c:v>
                </c:pt>
                <c:pt idx="4">
                  <c:v>0.08</c:v>
                </c:pt>
                <c:pt idx="5">
                  <c:v>5.7142857142857141E-2</c:v>
                </c:pt>
                <c:pt idx="6">
                  <c:v>0.19607843137254902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4-4EBA-B9A3-23792BDE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46656"/>
        <c:axId val="73629409"/>
      </c:barChart>
      <c:catAx>
        <c:axId val="9524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629409"/>
        <c:crosses val="autoZero"/>
        <c:auto val="1"/>
        <c:lblAlgn val="ctr"/>
        <c:lblOffset val="100"/>
        <c:noMultiLvlLbl val="0"/>
      </c:catAx>
      <c:valAx>
        <c:axId val="736294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46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Age distribution (active)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Active Employees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Analysis!$A$19:$A$23</c:f>
              <c:strCache>
                <c:ptCount val="5"/>
                <c:pt idx="0">
                  <c:v>Under 25</c:v>
                </c:pt>
                <c:pt idx="1">
                  <c:v>25 to 34</c:v>
                </c:pt>
                <c:pt idx="2">
                  <c:v>35 to 44</c:v>
                </c:pt>
                <c:pt idx="3">
                  <c:v>45 to 54</c:v>
                </c:pt>
                <c:pt idx="4">
                  <c:v>55 and above</c:v>
                </c:pt>
              </c:strCache>
            </c:strRef>
          </c:cat>
          <c:val>
            <c:numRef>
              <c:f>Analysis!$B$19:$B$23</c:f>
              <c:numCache>
                <c:formatCode>General</c:formatCode>
                <c:ptCount val="5"/>
                <c:pt idx="0">
                  <c:v>44</c:v>
                </c:pt>
                <c:pt idx="1">
                  <c:v>165</c:v>
                </c:pt>
                <c:pt idx="2">
                  <c:v>48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4-48B5-A90C-301D59A5E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85896"/>
        <c:axId val="10373455"/>
      </c:barChart>
      <c:catAx>
        <c:axId val="4428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73455"/>
        <c:crosses val="autoZero"/>
        <c:auto val="1"/>
        <c:lblAlgn val="ctr"/>
        <c:lblOffset val="100"/>
        <c:noMultiLvlLbl val="0"/>
      </c:catAx>
      <c:valAx>
        <c:axId val="10373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85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Tenure distribution (active)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Active Employees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Analysis!$A$28:$A$32</c:f>
              <c:strCache>
                <c:ptCount val="5"/>
                <c:pt idx="0">
                  <c:v>Under 1 yr</c:v>
                </c:pt>
                <c:pt idx="1">
                  <c:v>1 to 3 yrs</c:v>
                </c:pt>
                <c:pt idx="2">
                  <c:v>3 to 5 yrs</c:v>
                </c:pt>
                <c:pt idx="3">
                  <c:v>5 to 10 yrs</c:v>
                </c:pt>
                <c:pt idx="4">
                  <c:v>10+ yrs</c:v>
                </c:pt>
              </c:strCache>
            </c:strRef>
          </c:cat>
          <c:val>
            <c:numRef>
              <c:f>Analysis!$B$28:$B$32</c:f>
              <c:numCache>
                <c:formatCode>General</c:formatCode>
                <c:ptCount val="5"/>
                <c:pt idx="0">
                  <c:v>54</c:v>
                </c:pt>
                <c:pt idx="1">
                  <c:v>85</c:v>
                </c:pt>
                <c:pt idx="2">
                  <c:v>52</c:v>
                </c:pt>
                <c:pt idx="3">
                  <c:v>54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7-44CA-9F9B-8D4E9C11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12129"/>
        <c:axId val="19063144"/>
      </c:barChart>
      <c:catAx>
        <c:axId val="42612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63144"/>
        <c:crosses val="autoZero"/>
        <c:auto val="1"/>
        <c:lblAlgn val="ctr"/>
        <c:lblOffset val="100"/>
        <c:noMultiLvlLbl val="0"/>
      </c:catAx>
      <c:valAx>
        <c:axId val="19063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12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level and gender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Analysis!$B$36</c:f>
              <c:strCache>
                <c:ptCount val="1"/>
                <c:pt idx="0">
                  <c:v>Avg Salary - Female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Analysis!$A$37:$A$41</c:f>
              <c:strCache>
                <c:ptCount val="5"/>
                <c:pt idx="0">
                  <c:v>Entry</c:v>
                </c:pt>
                <c:pt idx="1">
                  <c:v>Associate</c:v>
                </c:pt>
                <c:pt idx="2">
                  <c:v>Senior</c:v>
                </c:pt>
                <c:pt idx="3">
                  <c:v>Manager</c:v>
                </c:pt>
                <c:pt idx="4">
                  <c:v>Director</c:v>
                </c:pt>
              </c:strCache>
            </c:strRef>
          </c:cat>
          <c:val>
            <c:numRef>
              <c:f>Analysis!$B$37:$B$41</c:f>
              <c:numCache>
                <c:formatCode>#,##0</c:formatCode>
                <c:ptCount val="5"/>
                <c:pt idx="0">
                  <c:v>339382.97872340423</c:v>
                </c:pt>
                <c:pt idx="1">
                  <c:v>546285.71428571432</c:v>
                </c:pt>
                <c:pt idx="2">
                  <c:v>895000</c:v>
                </c:pt>
                <c:pt idx="3">
                  <c:v>1679000</c:v>
                </c:pt>
                <c:pt idx="4">
                  <c:v>2723500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C-46C8-9B33-5136CBDB3A1B}"/>
            </c:ext>
          </c:extLst>
        </c:ser>
        <c:ser>
          <c:idx val="1"/>
          <c:order val="1"/>
          <c:tx>
            <c:strRef>
              <c:f>Analysis!$C$36</c:f>
              <c:strCache>
                <c:ptCount val="1"/>
                <c:pt idx="0">
                  <c:v>Avg Salary - Male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Analysis!$A$37:$A$41</c:f>
              <c:strCache>
                <c:ptCount val="5"/>
                <c:pt idx="0">
                  <c:v>Entry</c:v>
                </c:pt>
                <c:pt idx="1">
                  <c:v>Associate</c:v>
                </c:pt>
                <c:pt idx="2">
                  <c:v>Senior</c:v>
                </c:pt>
                <c:pt idx="3">
                  <c:v>Manager</c:v>
                </c:pt>
                <c:pt idx="4">
                  <c:v>Director</c:v>
                </c:pt>
              </c:strCache>
            </c:strRef>
          </c:cat>
          <c:val>
            <c:numRef>
              <c:f>Analysis!$C$37:$C$41</c:f>
              <c:numCache>
                <c:formatCode>#,##0</c:formatCode>
                <c:ptCount val="5"/>
                <c:pt idx="0">
                  <c:v>351973.68421052629</c:v>
                </c:pt>
                <c:pt idx="1">
                  <c:v>541863.63636363635</c:v>
                </c:pt>
                <c:pt idx="2">
                  <c:v>1008400</c:v>
                </c:pt>
                <c:pt idx="3">
                  <c:v>1713571.4285714286</c:v>
                </c:pt>
                <c:pt idx="4">
                  <c:v>3121428.5714285714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C-46C8-9B33-5136CBDB3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90890"/>
        <c:axId val="86524818"/>
      </c:barChart>
      <c:catAx>
        <c:axId val="50290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524818"/>
        <c:crosses val="autoZero"/>
        <c:auto val="1"/>
        <c:lblAlgn val="ctr"/>
        <c:lblOffset val="100"/>
        <c:noMultiLvlLbl val="0"/>
      </c:catAx>
      <c:valAx>
        <c:axId val="86524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08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Hires vs exits (last 12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Analysis!$B$63</c:f>
              <c:strCache>
                <c:ptCount val="1"/>
                <c:pt idx="0">
                  <c:v>Hires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Analysis!$A$64:$A$75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Analysis!$B$64:$B$75</c:f>
              <c:numCache>
                <c:formatCode>General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8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E0-4D34-ABCE-CDC4DAFD4382}"/>
            </c:ext>
          </c:extLst>
        </c:ser>
        <c:ser>
          <c:idx val="1"/>
          <c:order val="1"/>
          <c:tx>
            <c:strRef>
              <c:f>Analysis!$C$63</c:f>
              <c:strCache>
                <c:ptCount val="1"/>
                <c:pt idx="0">
                  <c:v>Exits</c:v>
                </c:pt>
              </c:strCache>
            </c:strRef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Analysis!$A$64:$A$75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Analysis!$C$64:$C$75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E0-4D34-ABCE-CDC4DAFD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10121"/>
        <c:axId val="34972139"/>
      </c:lineChart>
      <c:dateAx>
        <c:axId val="771012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72139"/>
        <c:crosses val="autoZero"/>
        <c:auto val="1"/>
        <c:lblOffset val="100"/>
        <c:baseTimeUnit val="months"/>
      </c:dateAx>
      <c:valAx>
        <c:axId val="34972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01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Performance rating distribution (active)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Analysis!$B$54</c:f>
              <c:strCache>
                <c:ptCount val="1"/>
                <c:pt idx="0">
                  <c:v>Active Employees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Analysis!$A$55:$A$59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Analysis!$B$55:$B$59</c:f>
              <c:numCache>
                <c:formatCode>General</c:formatCode>
                <c:ptCount val="5"/>
                <c:pt idx="0">
                  <c:v>6</c:v>
                </c:pt>
                <c:pt idx="1">
                  <c:v>27</c:v>
                </c:pt>
                <c:pt idx="2">
                  <c:v>118</c:v>
                </c:pt>
                <c:pt idx="3">
                  <c:v>84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2-4B1C-B5AD-D4C6ED693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124"/>
        <c:axId val="21724784"/>
      </c:barChart>
      <c:catAx>
        <c:axId val="719061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24784"/>
        <c:crosses val="autoZero"/>
        <c:auto val="1"/>
        <c:lblAlgn val="ctr"/>
        <c:lblOffset val="100"/>
        <c:noMultiLvlLbl val="0"/>
      </c:catAx>
      <c:valAx>
        <c:axId val="21724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061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81720</xdr:colOff>
      <xdr:row>29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12</xdr:col>
      <xdr:colOff>81720</xdr:colOff>
      <xdr:row>29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81720</xdr:colOff>
      <xdr:row>45</xdr:row>
      <xdr:rowOff>68400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12</xdr:col>
      <xdr:colOff>81720</xdr:colOff>
      <xdr:row>45</xdr:row>
      <xdr:rowOff>68400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6</xdr:col>
      <xdr:colOff>81720</xdr:colOff>
      <xdr:row>61</xdr:row>
      <xdr:rowOff>68760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47</xdr:row>
      <xdr:rowOff>0</xdr:rowOff>
    </xdr:from>
    <xdr:to>
      <xdr:col>12</xdr:col>
      <xdr:colOff>81720</xdr:colOff>
      <xdr:row>61</xdr:row>
      <xdr:rowOff>68760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63</xdr:row>
      <xdr:rowOff>0</xdr:rowOff>
    </xdr:from>
    <xdr:to>
      <xdr:col>6</xdr:col>
      <xdr:colOff>81720</xdr:colOff>
      <xdr:row>77</xdr:row>
      <xdr:rowOff>68760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63</xdr:row>
      <xdr:rowOff>0</xdr:rowOff>
    </xdr:from>
    <xdr:to>
      <xdr:col>12</xdr:col>
      <xdr:colOff>81720</xdr:colOff>
      <xdr:row>77</xdr:row>
      <xdr:rowOff>68760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showGridLines="0" topLeftCell="A62" zoomScaleNormal="100" workbookViewId="0">
      <selection sqref="A1:L1"/>
    </sheetView>
  </sheetViews>
  <sheetFormatPr defaultColWidth="8.6328125" defaultRowHeight="14.5" x14ac:dyDescent="0.35"/>
  <cols>
    <col min="1" max="12" width="13" customWidth="1"/>
  </cols>
  <sheetData>
    <row r="1" spans="1:12" ht="36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5">
      <c r="A3" s="10" t="s">
        <v>2</v>
      </c>
      <c r="C3" s="7" t="s">
        <v>3</v>
      </c>
      <c r="D3" s="7"/>
      <c r="F3" s="11" t="s">
        <v>4</v>
      </c>
      <c r="G3" s="12">
        <f>Assumptions!$B$3</f>
        <v>46295</v>
      </c>
    </row>
    <row r="5" spans="1:12" x14ac:dyDescent="0.35">
      <c r="A5" s="6" t="s">
        <v>5</v>
      </c>
      <c r="B5" s="6"/>
      <c r="C5" s="6"/>
      <c r="D5" s="6" t="s">
        <v>6</v>
      </c>
      <c r="E5" s="6"/>
      <c r="F5" s="6"/>
      <c r="G5" s="6" t="s">
        <v>7</v>
      </c>
      <c r="H5" s="6"/>
      <c r="I5" s="6"/>
      <c r="J5" s="6" t="s">
        <v>8</v>
      </c>
      <c r="K5" s="6"/>
      <c r="L5" s="6"/>
    </row>
    <row r="6" spans="1:12" ht="33.75" customHeight="1" x14ac:dyDescent="0.35">
      <c r="A6" s="5">
        <f>Analysis!$B$3</f>
        <v>262</v>
      </c>
      <c r="B6" s="5"/>
      <c r="C6" s="5"/>
      <c r="D6" s="5">
        <f>COUNTIFS(Employee_Data!$D$2:$D$321,Analysis!$B$1,Employee_Data!$G$2:$G$321,"&gt;="&amp;Assumptions!$B$4,Employee_Data!$G$2:$G$321,"&lt;="&amp;Assumptions!$B$3)</f>
        <v>65</v>
      </c>
      <c r="E6" s="5"/>
      <c r="F6" s="5"/>
      <c r="G6" s="5">
        <f>COUNTIFS(Employee_Data!$D$2:$D$321,Analysis!$B$1,Employee_Data!$H$2:$H$321,"&gt;="&amp;Assumptions!$B$4,Employee_Data!$H$2:$H$321,"&lt;="&amp;Assumptions!$B$3)</f>
        <v>58</v>
      </c>
      <c r="H6" s="5"/>
      <c r="I6" s="5"/>
      <c r="J6" s="4">
        <f>IFERROR(G6/AVERAGE(Analysis!$B$2,Analysis!$B$3),0)</f>
        <v>0.22437137330754353</v>
      </c>
      <c r="K6" s="4"/>
      <c r="L6" s="4"/>
    </row>
    <row r="8" spans="1:12" x14ac:dyDescent="0.35">
      <c r="A8" s="6" t="s">
        <v>9</v>
      </c>
      <c r="B8" s="6"/>
      <c r="C8" s="6"/>
      <c r="D8" s="6" t="s">
        <v>10</v>
      </c>
      <c r="E8" s="6"/>
      <c r="F8" s="6"/>
      <c r="G8" s="6" t="s">
        <v>11</v>
      </c>
      <c r="H8" s="6"/>
      <c r="I8" s="6"/>
      <c r="J8" s="6" t="s">
        <v>12</v>
      </c>
      <c r="K8" s="6"/>
      <c r="L8" s="6"/>
    </row>
    <row r="9" spans="1:12" ht="33.75" customHeight="1" x14ac:dyDescent="0.35">
      <c r="A9" s="3">
        <f>IFERROR(AVERAGEIFS(Employee_Data!$O$2:$O$321,Employee_Data!$D$2:$D$321,Analysis!$B$1,Employee_Data!$M$2:$M$321,"Active"),0)</f>
        <v>3.7788924244086748</v>
      </c>
      <c r="B9" s="3"/>
      <c r="C9" s="3"/>
      <c r="D9" s="5">
        <f>IFERROR(AVERAGEIFS(Employee_Data!$K$2:$K$321,Employee_Data!$D$2:$D$321,Analysis!$B$1,Employee_Data!$M$2:$M$321,"Active"),0)</f>
        <v>795633.5877862596</v>
      </c>
      <c r="E9" s="5"/>
      <c r="F9" s="5"/>
      <c r="G9" s="4">
        <f>IFERROR(COUNTIFS(Employee_Data!$D$2:$D$321,Analysis!$B$1,Employee_Data!$M$2:$M$321,"Active",Employee_Data!$C$2:$C$321,"Female")/A6,0)</f>
        <v>0.46564885496183206</v>
      </c>
      <c r="H9" s="4"/>
      <c r="I9" s="4"/>
      <c r="J9" s="2">
        <f>IFERROR(AVERAGEIFS(Employee_Data!$L$2:$L$321,Employee_Data!$D$2:$D$321,Analysis!$B$1,Employee_Data!$M$2:$M$321,"Active"),0)</f>
        <v>3.3778625954198471</v>
      </c>
      <c r="K9" s="2"/>
      <c r="L9" s="2"/>
    </row>
    <row r="11" spans="1:12" ht="15.5" x14ac:dyDescent="0.35">
      <c r="A11" s="13" t="s">
        <v>13</v>
      </c>
    </row>
    <row r="12" spans="1:12" ht="30" customHeight="1" x14ac:dyDescent="0.35">
      <c r="A12" s="1" t="str">
        <f>"• Largest department: "&amp;INDEX(Analysis!$A$7:$A$13,MATCH(MAX(Analysis!$B$7:$B$13),Analysis!$B$7:$B$13,0))&amp;" with "&amp;MAX(Analysis!$B$7:$B$13)&amp;" active employees ("&amp;TEXT(MAX(Analysis!$B$7:$B$13)/Analysis!$B$14,"0%")&amp;" of the workforce)."</f>
        <v>• Largest department: Sales with 52 active employees (20% of the workforce).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30" customHeight="1" x14ac:dyDescent="0.35">
      <c r="A13" s="1" t="str">
        <f>"• Highest attrition: "&amp;INDEX(Analysis!$A$7:$A$13,MATCH(MAX(Analysis!$K$7:$K$13),Analysis!$K$7:$K$13,0))&amp;" at "&amp;TEXT(MAX(Analysis!$K$7:$K$13),"0.0%")&amp;" versus the company average of "&amp;TEXT(Analysis!$K$14,"0.0%")&amp;"."</f>
        <v>• Highest attrition: Customer Support at 38.3% versus the company average of 22.4%.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0" customHeight="1" x14ac:dyDescent="0.35">
      <c r="A14" s="1" t="str">
        <f>"• Largest gender pay gap by job level: "&amp;INDEX(Analysis!$A$37:$A$41,MATCH(MAX(Analysis!$D$37:$D$41),Analysis!$D$37:$D$41,0))&amp;" ("&amp;TEXT(MAX(Analysis!$D$37:$D$41),"0.0%")&amp;" higher average pay for men). Female representation overall is "&amp;TEXT(Analysis!$E$14,"0%")&amp;"."</f>
        <v>• Largest gender pay gap by job level: Director (12.7% higher average pay for men). Female representation overall is 47%.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mergeCells count="22">
    <mergeCell ref="A13:L13"/>
    <mergeCell ref="A14:L14"/>
    <mergeCell ref="A9:C9"/>
    <mergeCell ref="D9:F9"/>
    <mergeCell ref="G9:I9"/>
    <mergeCell ref="J9:L9"/>
    <mergeCell ref="A12:L12"/>
    <mergeCell ref="A6:C6"/>
    <mergeCell ref="D6:F6"/>
    <mergeCell ref="G6:I6"/>
    <mergeCell ref="J6:L6"/>
    <mergeCell ref="A8:C8"/>
    <mergeCell ref="D8:F8"/>
    <mergeCell ref="G8:I8"/>
    <mergeCell ref="J8:L8"/>
    <mergeCell ref="A1:L1"/>
    <mergeCell ref="A2:L2"/>
    <mergeCell ref="C3:D3"/>
    <mergeCell ref="A5:C5"/>
    <mergeCell ref="D5:F5"/>
    <mergeCell ref="G5:I5"/>
    <mergeCell ref="J5:L5"/>
  </mergeCells>
  <dataValidations count="1">
    <dataValidation type="list" sqref="C3" xr:uid="{00000000-0002-0000-0000-000000000000}">
      <formula1>"All,Sales,Customer Support,IT,Operations,Finance,HR,Marketing"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75"/>
  <sheetViews>
    <sheetView tabSelected="1" zoomScaleNormal="100" workbookViewId="0">
      <selection activeCell="K7" sqref="K7"/>
    </sheetView>
  </sheetViews>
  <sheetFormatPr defaultColWidth="8.6328125" defaultRowHeight="14.5" x14ac:dyDescent="0.35"/>
  <cols>
    <col min="1" max="1" width="24" customWidth="1"/>
    <col min="2" max="11" width="14" customWidth="1"/>
  </cols>
  <sheetData>
    <row r="1" spans="1:11" x14ac:dyDescent="0.35">
      <c r="A1" s="10" t="s">
        <v>14</v>
      </c>
      <c r="B1" s="14" t="str">
        <f>IF(Dashboard!$C$3="All","*",Dashboard!$C$3)</f>
        <v>*</v>
      </c>
    </row>
    <row r="2" spans="1:11" x14ac:dyDescent="0.35">
      <c r="A2" s="10" t="s">
        <v>15</v>
      </c>
      <c r="B2" s="14">
        <f>COUNTIFS(Employee_Data!$D$2:$D$321,$B$1,Employee_Data!$G$2:$G$321,"&lt;"&amp;Assumptions!$B$4,Employee_Data!$H$2:$H$321,"")+COUNTIFS(Employee_Data!$D$2:$D$321,$B$1,Employee_Data!$G$2:$G$321,"&lt;"&amp;Assumptions!$B$4,Employee_Data!$H$2:$H$321,"&gt;="&amp;Assumptions!$B$4)</f>
        <v>255</v>
      </c>
    </row>
    <row r="3" spans="1:11" x14ac:dyDescent="0.35">
      <c r="A3" s="10" t="s">
        <v>16</v>
      </c>
      <c r="B3" s="14">
        <f>COUNTIFS(Employee_Data!$D$2:$D$321,$B$1,Employee_Data!$M$2:$M$321,"Active")</f>
        <v>262</v>
      </c>
    </row>
    <row r="5" spans="1:11" ht="15.5" x14ac:dyDescent="0.35">
      <c r="A5" s="13" t="s">
        <v>17</v>
      </c>
    </row>
    <row r="6" spans="1:11" ht="30" customHeight="1" x14ac:dyDescent="0.35">
      <c r="A6" s="15" t="s">
        <v>18</v>
      </c>
      <c r="B6" s="15" t="s">
        <v>19</v>
      </c>
      <c r="C6" s="15" t="s">
        <v>20</v>
      </c>
      <c r="D6" s="15" t="s">
        <v>21</v>
      </c>
      <c r="E6" s="15" t="s">
        <v>22</v>
      </c>
      <c r="F6" s="15" t="s">
        <v>23</v>
      </c>
      <c r="G6" s="15" t="s">
        <v>24</v>
      </c>
      <c r="H6" s="15" t="s">
        <v>25</v>
      </c>
      <c r="I6" s="15" t="s">
        <v>26</v>
      </c>
      <c r="J6" s="15" t="s">
        <v>27</v>
      </c>
      <c r="K6" s="15" t="s">
        <v>28</v>
      </c>
    </row>
    <row r="7" spans="1:11" x14ac:dyDescent="0.35">
      <c r="A7" s="16" t="s">
        <v>29</v>
      </c>
      <c r="B7" s="16">
        <f>COUNTIFS(Employee_Data!$D$2:$D$321,$A7,Employee_Data!$M$2:$M$321,"Active")</f>
        <v>52</v>
      </c>
      <c r="C7" s="16">
        <f>COUNTIFS(Employee_Data!$D$2:$D$321,$A7,Employee_Data!$M$2:$M$321,"Active",Employee_Data!$C$2:$C$321,"Female")</f>
        <v>23</v>
      </c>
      <c r="D7" s="16">
        <f>COUNTIFS(Employee_Data!$D$2:$D$321,$A7,Employee_Data!$M$2:$M$321,"Active",Employee_Data!$C$2:$C$321,"Male")</f>
        <v>29</v>
      </c>
      <c r="E7" s="17">
        <f t="shared" ref="E7:E14" si="0">IFERROR(C7/B7,0)</f>
        <v>0.44230769230769229</v>
      </c>
      <c r="F7" s="18">
        <f>IFERROR(AVERAGEIFS(Employee_Data!$K$2:$K$321,Employee_Data!$D$2:$D$321,$A7,Employee_Data!$M$2:$M$321,"Active"),0)</f>
        <v>831480.76923076925</v>
      </c>
      <c r="G7" s="19">
        <f>IFERROR(AVERAGEIFS(Employee_Data!$O$2:$O$321,Employee_Data!$D$2:$D$321,$A7,Employee_Data!$M$2:$M$321,"Active"),0)</f>
        <v>3.4423735060285363</v>
      </c>
      <c r="H7" s="16">
        <f>COUNTIFS(Employee_Data!$D$2:$D$321,$A7,Employee_Data!$H$2:$H$321,"&gt;="&amp;Assumptions!$B$4,Employee_Data!$H$2:$H$321,"&lt;="&amp;Assumptions!$B$3)</f>
        <v>18</v>
      </c>
      <c r="I7" s="16">
        <f>COUNTIFS(Employee_Data!$D$2:$D$321,$A7,Employee_Data!$G$2:$G$321,"&lt;"&amp;Assumptions!$B$4,Employee_Data!$H$2:$H$321,"")+COUNTIFS(Employee_Data!$D$2:$D$321,$A7,Employee_Data!$G$2:$G$321,"&lt;"&amp;Assumptions!$B$4,Employee_Data!$H$2:$H$321,"&gt;="&amp;Assumptions!$B$4)</f>
        <v>58</v>
      </c>
      <c r="J7" s="19">
        <f t="shared" ref="J7:J14" si="1">AVERAGE(I7,B7)</f>
        <v>55</v>
      </c>
      <c r="K7" s="17">
        <f t="shared" ref="K7:K14" si="2">IFERROR(H7/J7,0)</f>
        <v>0.32727272727272727</v>
      </c>
    </row>
    <row r="8" spans="1:11" x14ac:dyDescent="0.35">
      <c r="A8" s="16" t="s">
        <v>30</v>
      </c>
      <c r="B8" s="16">
        <f>COUNTIFS(Employee_Data!$D$2:$D$321,$A8,Employee_Data!$M$2:$M$321,"Active")</f>
        <v>42</v>
      </c>
      <c r="C8" s="16">
        <f>COUNTIFS(Employee_Data!$D$2:$D$321,$A8,Employee_Data!$M$2:$M$321,"Active",Employee_Data!$C$2:$C$321,"Female")</f>
        <v>20</v>
      </c>
      <c r="D8" s="16">
        <f>COUNTIFS(Employee_Data!$D$2:$D$321,$A8,Employee_Data!$M$2:$M$321,"Active",Employee_Data!$C$2:$C$321,"Male")</f>
        <v>22</v>
      </c>
      <c r="E8" s="17">
        <f t="shared" si="0"/>
        <v>0.47619047619047616</v>
      </c>
      <c r="F8" s="18">
        <f>IFERROR(AVERAGEIFS(Employee_Data!$K$2:$K$321,Employee_Data!$D$2:$D$321,$A8,Employee_Data!$M$2:$M$321,"Active"),0)</f>
        <v>450309.52380952379</v>
      </c>
      <c r="G8" s="19">
        <f>IFERROR(AVERAGEIFS(Employee_Data!$O$2:$O$321,Employee_Data!$D$2:$D$321,$A8,Employee_Data!$M$2:$M$321,"Active"),0)</f>
        <v>4.4091783188292437</v>
      </c>
      <c r="H8" s="16">
        <f>COUNTIFS(Employee_Data!$D$2:$D$321,$A8,Employee_Data!$H$2:$H$321,"&gt;="&amp;Assumptions!$B$4,Employee_Data!$H$2:$H$321,"&lt;="&amp;Assumptions!$B$3)</f>
        <v>18</v>
      </c>
      <c r="I8" s="16">
        <f>COUNTIFS(Employee_Data!$D$2:$D$321,$A8,Employee_Data!$G$2:$G$321,"&lt;"&amp;Assumptions!$B$4,Employee_Data!$H$2:$H$321,"")+COUNTIFS(Employee_Data!$D$2:$D$321,$A8,Employee_Data!$G$2:$G$321,"&lt;"&amp;Assumptions!$B$4,Employee_Data!$H$2:$H$321,"&gt;="&amp;Assumptions!$B$4)</f>
        <v>52</v>
      </c>
      <c r="J8" s="19">
        <f t="shared" si="1"/>
        <v>47</v>
      </c>
      <c r="K8" s="17">
        <f t="shared" si="2"/>
        <v>0.38297872340425532</v>
      </c>
    </row>
    <row r="9" spans="1:11" x14ac:dyDescent="0.35">
      <c r="A9" s="16" t="s">
        <v>31</v>
      </c>
      <c r="B9" s="16">
        <f>COUNTIFS(Employee_Data!$D$2:$D$321,$A9,Employee_Data!$M$2:$M$321,"Active")</f>
        <v>47</v>
      </c>
      <c r="C9" s="16">
        <f>COUNTIFS(Employee_Data!$D$2:$D$321,$A9,Employee_Data!$M$2:$M$321,"Active",Employee_Data!$C$2:$C$321,"Female")</f>
        <v>13</v>
      </c>
      <c r="D9" s="16">
        <f>COUNTIFS(Employee_Data!$D$2:$D$321,$A9,Employee_Data!$M$2:$M$321,"Active",Employee_Data!$C$2:$C$321,"Male")</f>
        <v>34</v>
      </c>
      <c r="E9" s="17">
        <f t="shared" si="0"/>
        <v>0.27659574468085107</v>
      </c>
      <c r="F9" s="18">
        <f>IFERROR(AVERAGEIFS(Employee_Data!$K$2:$K$321,Employee_Data!$D$2:$D$321,$A9,Employee_Data!$M$2:$M$321,"Active"),0)</f>
        <v>1062021.2765957448</v>
      </c>
      <c r="G9" s="19">
        <f>IFERROR(AVERAGEIFS(Employee_Data!$O$2:$O$321,Employee_Data!$D$2:$D$321,$A9,Employee_Data!$M$2:$M$321,"Active"),0)</f>
        <v>3.9492623822214457</v>
      </c>
      <c r="H9" s="16">
        <f>COUNTIFS(Employee_Data!$D$2:$D$321,$A9,Employee_Data!$H$2:$H$321,"&gt;="&amp;Assumptions!$B$4,Employee_Data!$H$2:$H$321,"&lt;="&amp;Assumptions!$B$3)</f>
        <v>8</v>
      </c>
      <c r="I9" s="16">
        <f>COUNTIFS(Employee_Data!$D$2:$D$321,$A9,Employee_Data!$G$2:$G$321,"&lt;"&amp;Assumptions!$B$4,Employee_Data!$H$2:$H$321,"")+COUNTIFS(Employee_Data!$D$2:$D$321,$A9,Employee_Data!$G$2:$G$321,"&lt;"&amp;Assumptions!$B$4,Employee_Data!$H$2:$H$321,"&gt;="&amp;Assumptions!$B$4)</f>
        <v>45</v>
      </c>
      <c r="J9" s="19">
        <f t="shared" si="1"/>
        <v>46</v>
      </c>
      <c r="K9" s="17">
        <f t="shared" si="2"/>
        <v>0.17391304347826086</v>
      </c>
    </row>
    <row r="10" spans="1:11" x14ac:dyDescent="0.35">
      <c r="A10" s="16" t="s">
        <v>32</v>
      </c>
      <c r="B10" s="16">
        <f>COUNTIFS(Employee_Data!$D$2:$D$321,$A10,Employee_Data!$M$2:$M$321,"Active")</f>
        <v>44</v>
      </c>
      <c r="C10" s="16">
        <f>COUNTIFS(Employee_Data!$D$2:$D$321,$A10,Employee_Data!$M$2:$M$321,"Active",Employee_Data!$C$2:$C$321,"Female")</f>
        <v>15</v>
      </c>
      <c r="D10" s="16">
        <f>COUNTIFS(Employee_Data!$D$2:$D$321,$A10,Employee_Data!$M$2:$M$321,"Active",Employee_Data!$C$2:$C$321,"Male")</f>
        <v>29</v>
      </c>
      <c r="E10" s="17">
        <f t="shared" si="0"/>
        <v>0.34090909090909088</v>
      </c>
      <c r="F10" s="18">
        <f>IFERROR(AVERAGEIFS(Employee_Data!$K$2:$K$321,Employee_Data!$D$2:$D$321,$A10,Employee_Data!$M$2:$M$321,"Active"),0)</f>
        <v>618159.09090909094</v>
      </c>
      <c r="G10" s="19">
        <f>IFERROR(AVERAGEIFS(Employee_Data!$O$2:$O$321,Employee_Data!$D$2:$D$321,$A10,Employee_Data!$M$2:$M$321,"Active"),0)</f>
        <v>3.6008338000124436</v>
      </c>
      <c r="H10" s="16">
        <f>COUNTIFS(Employee_Data!$D$2:$D$321,$A10,Employee_Data!$H$2:$H$321,"&gt;="&amp;Assumptions!$B$4,Employee_Data!$H$2:$H$321,"&lt;="&amp;Assumptions!$B$3)</f>
        <v>6</v>
      </c>
      <c r="I10" s="16">
        <f>COUNTIFS(Employee_Data!$D$2:$D$321,$A10,Employee_Data!$G$2:$G$321,"&lt;"&amp;Assumptions!$B$4,Employee_Data!$H$2:$H$321,"")+COUNTIFS(Employee_Data!$D$2:$D$321,$A10,Employee_Data!$G$2:$G$321,"&lt;"&amp;Assumptions!$B$4,Employee_Data!$H$2:$H$321,"&gt;="&amp;Assumptions!$B$4)</f>
        <v>41</v>
      </c>
      <c r="J10" s="19">
        <f t="shared" si="1"/>
        <v>42.5</v>
      </c>
      <c r="K10" s="17">
        <f t="shared" si="2"/>
        <v>0.14117647058823529</v>
      </c>
    </row>
    <row r="11" spans="1:11" x14ac:dyDescent="0.35">
      <c r="A11" s="16" t="s">
        <v>33</v>
      </c>
      <c r="B11" s="16">
        <f>COUNTIFS(Employee_Data!$D$2:$D$321,$A11,Employee_Data!$M$2:$M$321,"Active")</f>
        <v>28</v>
      </c>
      <c r="C11" s="16">
        <f>COUNTIFS(Employee_Data!$D$2:$D$321,$A11,Employee_Data!$M$2:$M$321,"Active",Employee_Data!$C$2:$C$321,"Female")</f>
        <v>18</v>
      </c>
      <c r="D11" s="16">
        <f>COUNTIFS(Employee_Data!$D$2:$D$321,$A11,Employee_Data!$M$2:$M$321,"Active",Employee_Data!$C$2:$C$321,"Male")</f>
        <v>10</v>
      </c>
      <c r="E11" s="17">
        <f t="shared" si="0"/>
        <v>0.6428571428571429</v>
      </c>
      <c r="F11" s="18">
        <f>IFERROR(AVERAGEIFS(Employee_Data!$K$2:$K$321,Employee_Data!$D$2:$D$321,$A11,Employee_Data!$M$2:$M$321,"Active"),0)</f>
        <v>649750</v>
      </c>
      <c r="G11" s="19">
        <f>IFERROR(AVERAGEIFS(Employee_Data!$O$2:$O$321,Employee_Data!$D$2:$D$321,$A11,Employee_Data!$M$2:$M$321,"Active"),0)</f>
        <v>3.9511098073726423</v>
      </c>
      <c r="H11" s="16">
        <f>COUNTIFS(Employee_Data!$D$2:$D$321,$A11,Employee_Data!$H$2:$H$321,"&gt;="&amp;Assumptions!$B$4,Employee_Data!$H$2:$H$321,"&lt;="&amp;Assumptions!$B$3)</f>
        <v>2</v>
      </c>
      <c r="I11" s="16">
        <f>COUNTIFS(Employee_Data!$D$2:$D$321,$A11,Employee_Data!$G$2:$G$321,"&lt;"&amp;Assumptions!$B$4,Employee_Data!$H$2:$H$321,"")+COUNTIFS(Employee_Data!$D$2:$D$321,$A11,Employee_Data!$G$2:$G$321,"&lt;"&amp;Assumptions!$B$4,Employee_Data!$H$2:$H$321,"&gt;="&amp;Assumptions!$B$4)</f>
        <v>22</v>
      </c>
      <c r="J11" s="19">
        <f t="shared" si="1"/>
        <v>25</v>
      </c>
      <c r="K11" s="17">
        <f t="shared" si="2"/>
        <v>0.08</v>
      </c>
    </row>
    <row r="12" spans="1:11" x14ac:dyDescent="0.35">
      <c r="A12" s="16" t="s">
        <v>34</v>
      </c>
      <c r="B12" s="16">
        <f>COUNTIFS(Employee_Data!$D$2:$D$321,$A12,Employee_Data!$M$2:$M$321,"Active")</f>
        <v>19</v>
      </c>
      <c r="C12" s="16">
        <f>COUNTIFS(Employee_Data!$D$2:$D$321,$A12,Employee_Data!$M$2:$M$321,"Active",Employee_Data!$C$2:$C$321,"Female")</f>
        <v>17</v>
      </c>
      <c r="D12" s="16">
        <f>COUNTIFS(Employee_Data!$D$2:$D$321,$A12,Employee_Data!$M$2:$M$321,"Active",Employee_Data!$C$2:$C$321,"Male")</f>
        <v>2</v>
      </c>
      <c r="E12" s="17">
        <f t="shared" si="0"/>
        <v>0.89473684210526316</v>
      </c>
      <c r="F12" s="18">
        <f>IFERROR(AVERAGEIFS(Employee_Data!$K$2:$K$321,Employee_Data!$D$2:$D$321,$A12,Employee_Data!$M$2:$M$321,"Active"),0)</f>
        <v>1085052.6315789474</v>
      </c>
      <c r="G12" s="19">
        <f>IFERROR(AVERAGEIFS(Employee_Data!$O$2:$O$321,Employee_Data!$D$2:$D$321,$A12,Employee_Data!$M$2:$M$321,"Active"),0)</f>
        <v>4.1613890990309441</v>
      </c>
      <c r="H12" s="16">
        <f>COUNTIFS(Employee_Data!$D$2:$D$321,$A12,Employee_Data!$H$2:$H$321,"&gt;="&amp;Assumptions!$B$4,Employee_Data!$H$2:$H$321,"&lt;="&amp;Assumptions!$B$3)</f>
        <v>1</v>
      </c>
      <c r="I12" s="16">
        <f>COUNTIFS(Employee_Data!$D$2:$D$321,$A12,Employee_Data!$G$2:$G$321,"&lt;"&amp;Assumptions!$B$4,Employee_Data!$H$2:$H$321,"")+COUNTIFS(Employee_Data!$D$2:$D$321,$A12,Employee_Data!$G$2:$G$321,"&lt;"&amp;Assumptions!$B$4,Employee_Data!$H$2:$H$321,"&gt;="&amp;Assumptions!$B$4)</f>
        <v>16</v>
      </c>
      <c r="J12" s="19">
        <f t="shared" si="1"/>
        <v>17.5</v>
      </c>
      <c r="K12" s="17">
        <f t="shared" si="2"/>
        <v>5.7142857142857141E-2</v>
      </c>
    </row>
    <row r="13" spans="1:11" x14ac:dyDescent="0.35">
      <c r="A13" s="16" t="s">
        <v>35</v>
      </c>
      <c r="B13" s="16">
        <f>COUNTIFS(Employee_Data!$D$2:$D$321,$A13,Employee_Data!$M$2:$M$321,"Active")</f>
        <v>30</v>
      </c>
      <c r="C13" s="16">
        <f>COUNTIFS(Employee_Data!$D$2:$D$321,$A13,Employee_Data!$M$2:$M$321,"Active",Employee_Data!$C$2:$C$321,"Female")</f>
        <v>16</v>
      </c>
      <c r="D13" s="16">
        <f>COUNTIFS(Employee_Data!$D$2:$D$321,$A13,Employee_Data!$M$2:$M$321,"Active",Employee_Data!$C$2:$C$321,"Male")</f>
        <v>14</v>
      </c>
      <c r="E13" s="17">
        <f t="shared" si="0"/>
        <v>0.53333333333333333</v>
      </c>
      <c r="F13" s="18">
        <f>IFERROR(AVERAGEIFS(Employee_Data!$K$2:$K$321,Employee_Data!$D$2:$D$321,$A13,Employee_Data!$M$2:$M$321,"Active"),0)</f>
        <v>1012766.6666666666</v>
      </c>
      <c r="G13" s="19">
        <f>IFERROR(AVERAGEIFS(Employee_Data!$O$2:$O$321,Employee_Data!$D$2:$D$321,$A13,Employee_Data!$M$2:$M$321,"Active"),0)</f>
        <v>3.071047227926079</v>
      </c>
      <c r="H13" s="16">
        <f>COUNTIFS(Employee_Data!$D$2:$D$321,$A13,Employee_Data!$H$2:$H$321,"&gt;="&amp;Assumptions!$B$4,Employee_Data!$H$2:$H$321,"&lt;="&amp;Assumptions!$B$3)</f>
        <v>5</v>
      </c>
      <c r="I13" s="16">
        <f>COUNTIFS(Employee_Data!$D$2:$D$321,$A13,Employee_Data!$G$2:$G$321,"&lt;"&amp;Assumptions!$B$4,Employee_Data!$H$2:$H$321,"")+COUNTIFS(Employee_Data!$D$2:$D$321,$A13,Employee_Data!$G$2:$G$321,"&lt;"&amp;Assumptions!$B$4,Employee_Data!$H$2:$H$321,"&gt;="&amp;Assumptions!$B$4)</f>
        <v>21</v>
      </c>
      <c r="J13" s="19">
        <f t="shared" si="1"/>
        <v>25.5</v>
      </c>
      <c r="K13" s="17">
        <f t="shared" si="2"/>
        <v>0.19607843137254902</v>
      </c>
    </row>
    <row r="14" spans="1:11" x14ac:dyDescent="0.35">
      <c r="A14" s="20" t="s">
        <v>36</v>
      </c>
      <c r="B14" s="20">
        <f>SUM(B7:B13)</f>
        <v>262</v>
      </c>
      <c r="C14" s="20">
        <f>SUM(C7:C13)</f>
        <v>122</v>
      </c>
      <c r="D14" s="20">
        <f>SUM(D7:D13)</f>
        <v>140</v>
      </c>
      <c r="E14" s="21">
        <f t="shared" si="0"/>
        <v>0.46564885496183206</v>
      </c>
      <c r="F14" s="22">
        <f>IFERROR(AVERAGEIFS(Employee_Data!$K$2:$K$321,Employee_Data!$M$2:$M$321,"Active"),0)</f>
        <v>795633.5877862596</v>
      </c>
      <c r="G14" s="23">
        <f>IFERROR(AVERAGEIFS(Employee_Data!$O$2:$O$321,Employee_Data!$M$2:$M$321,"Active"),0)</f>
        <v>3.7788924244086748</v>
      </c>
      <c r="H14" s="20">
        <f>SUM(H7:H13)</f>
        <v>58</v>
      </c>
      <c r="I14" s="20">
        <f>SUM(I7:I13)</f>
        <v>255</v>
      </c>
      <c r="J14" s="23">
        <f t="shared" si="1"/>
        <v>258.5</v>
      </c>
      <c r="K14" s="21">
        <f t="shared" si="2"/>
        <v>0.22437137330754353</v>
      </c>
    </row>
    <row r="17" spans="1:3" ht="15.5" x14ac:dyDescent="0.35">
      <c r="A17" s="13" t="s">
        <v>37</v>
      </c>
    </row>
    <row r="18" spans="1:3" ht="30" customHeight="1" x14ac:dyDescent="0.35">
      <c r="A18" s="15" t="s">
        <v>38</v>
      </c>
      <c r="B18" s="15" t="s">
        <v>39</v>
      </c>
      <c r="C18" s="15" t="s">
        <v>40</v>
      </c>
    </row>
    <row r="19" spans="1:3" x14ac:dyDescent="0.35">
      <c r="A19" s="16" t="s">
        <v>41</v>
      </c>
      <c r="B19" s="16">
        <f>COUNTIFS(Employee_Data!$P$2:$P$321,$A19,Employee_Data!$M$2:$M$321,"Active")</f>
        <v>44</v>
      </c>
      <c r="C19" s="17">
        <f>IFERROR(B19/SUM(B$19:B$23),0)</f>
        <v>0.16793893129770993</v>
      </c>
    </row>
    <row r="20" spans="1:3" x14ac:dyDescent="0.35">
      <c r="A20" s="16" t="s">
        <v>42</v>
      </c>
      <c r="B20" s="16">
        <f>COUNTIFS(Employee_Data!$P$2:$P$321,$A20,Employee_Data!$M$2:$M$321,"Active")</f>
        <v>165</v>
      </c>
      <c r="C20" s="17">
        <f>IFERROR(B20/SUM(B$19:B$23),0)</f>
        <v>0.62977099236641221</v>
      </c>
    </row>
    <row r="21" spans="1:3" x14ac:dyDescent="0.35">
      <c r="A21" s="16" t="s">
        <v>43</v>
      </c>
      <c r="B21" s="16">
        <f>COUNTIFS(Employee_Data!$P$2:$P$321,$A21,Employee_Data!$M$2:$M$321,"Active")</f>
        <v>48</v>
      </c>
      <c r="C21" s="17">
        <f>IFERROR(B21/SUM(B$19:B$23),0)</f>
        <v>0.18320610687022901</v>
      </c>
    </row>
    <row r="22" spans="1:3" x14ac:dyDescent="0.35">
      <c r="A22" s="16" t="s">
        <v>44</v>
      </c>
      <c r="B22" s="16">
        <f>COUNTIFS(Employee_Data!$P$2:$P$321,$A22,Employee_Data!$M$2:$M$321,"Active")</f>
        <v>5</v>
      </c>
      <c r="C22" s="17">
        <f>IFERROR(B22/SUM(B$19:B$23),0)</f>
        <v>1.9083969465648856E-2</v>
      </c>
    </row>
    <row r="23" spans="1:3" x14ac:dyDescent="0.35">
      <c r="A23" s="16" t="s">
        <v>45</v>
      </c>
      <c r="B23" s="16">
        <f>COUNTIFS(Employee_Data!$P$2:$P$321,$A23,Employee_Data!$M$2:$M$321,"Active")</f>
        <v>0</v>
      </c>
      <c r="C23" s="17">
        <f>IFERROR(B23/SUM(B$19:B$23),0)</f>
        <v>0</v>
      </c>
    </row>
    <row r="26" spans="1:3" ht="15.5" x14ac:dyDescent="0.35">
      <c r="A26" s="13" t="s">
        <v>46</v>
      </c>
    </row>
    <row r="27" spans="1:3" ht="30" customHeight="1" x14ac:dyDescent="0.35">
      <c r="A27" s="15" t="s">
        <v>47</v>
      </c>
      <c r="B27" s="15" t="s">
        <v>39</v>
      </c>
      <c r="C27" s="15" t="s">
        <v>40</v>
      </c>
    </row>
    <row r="28" spans="1:3" x14ac:dyDescent="0.35">
      <c r="A28" s="16" t="s">
        <v>48</v>
      </c>
      <c r="B28" s="16">
        <f>COUNTIFS(Employee_Data!$Q$2:$Q$321,$A28,Employee_Data!$M$2:$M$321,"Active")</f>
        <v>54</v>
      </c>
      <c r="C28" s="17">
        <f>IFERROR(B28/SUM(B$28:B$32),0)</f>
        <v>0.20610687022900764</v>
      </c>
    </row>
    <row r="29" spans="1:3" x14ac:dyDescent="0.35">
      <c r="A29" s="16" t="s">
        <v>49</v>
      </c>
      <c r="B29" s="16">
        <f>COUNTIFS(Employee_Data!$Q$2:$Q$321,$A29,Employee_Data!$M$2:$M$321,"Active")</f>
        <v>85</v>
      </c>
      <c r="C29" s="17">
        <f>IFERROR(B29/SUM(B$28:B$32),0)</f>
        <v>0.32442748091603052</v>
      </c>
    </row>
    <row r="30" spans="1:3" x14ac:dyDescent="0.35">
      <c r="A30" s="16" t="s">
        <v>50</v>
      </c>
      <c r="B30" s="16">
        <f>COUNTIFS(Employee_Data!$Q$2:$Q$321,$A30,Employee_Data!$M$2:$M$321,"Active")</f>
        <v>52</v>
      </c>
      <c r="C30" s="17">
        <f>IFERROR(B30/SUM(B$28:B$32),0)</f>
        <v>0.19847328244274809</v>
      </c>
    </row>
    <row r="31" spans="1:3" x14ac:dyDescent="0.35">
      <c r="A31" s="16" t="s">
        <v>51</v>
      </c>
      <c r="B31" s="16">
        <f>COUNTIFS(Employee_Data!$Q$2:$Q$321,$A31,Employee_Data!$M$2:$M$321,"Active")</f>
        <v>54</v>
      </c>
      <c r="C31" s="17">
        <f>IFERROR(B31/SUM(B$28:B$32),0)</f>
        <v>0.20610687022900764</v>
      </c>
    </row>
    <row r="32" spans="1:3" x14ac:dyDescent="0.35">
      <c r="A32" s="16" t="s">
        <v>52</v>
      </c>
      <c r="B32" s="16">
        <f>COUNTIFS(Employee_Data!$Q$2:$Q$321,$A32,Employee_Data!$M$2:$M$321,"Active")</f>
        <v>17</v>
      </c>
      <c r="C32" s="17">
        <f>IFERROR(B32/SUM(B$28:B$32),0)</f>
        <v>6.4885496183206104E-2</v>
      </c>
    </row>
    <row r="35" spans="1:4" ht="15.5" x14ac:dyDescent="0.35">
      <c r="A35" s="13" t="s">
        <v>53</v>
      </c>
    </row>
    <row r="36" spans="1:4" ht="30" customHeight="1" x14ac:dyDescent="0.35">
      <c r="A36" s="15" t="s">
        <v>54</v>
      </c>
      <c r="B36" s="15" t="s">
        <v>55</v>
      </c>
      <c r="C36" s="15" t="s">
        <v>56</v>
      </c>
      <c r="D36" s="15" t="s">
        <v>57</v>
      </c>
    </row>
    <row r="37" spans="1:4" x14ac:dyDescent="0.35">
      <c r="A37" s="16" t="s">
        <v>58</v>
      </c>
      <c r="B37" s="18">
        <f>IFERROR(AVERAGEIFS(Employee_Data!$K$2:$K$321,Employee_Data!$E$2:$E$321,$A37,Employee_Data!$C$2:$C$321,"Female",Employee_Data!$M$2:$M$321,"Active"),0)</f>
        <v>339382.97872340423</v>
      </c>
      <c r="C37" s="18">
        <f>IFERROR(AVERAGEIFS(Employee_Data!$K$2:$K$321,Employee_Data!$E$2:$E$321,$A37,Employee_Data!$C$2:$C$321,"Male",Employee_Data!$M$2:$M$321,"Active"),0)</f>
        <v>351973.68421052629</v>
      </c>
      <c r="D37" s="17">
        <f>IFERROR((C37-B37)/C37,0)</f>
        <v>3.5771724000795389E-2</v>
      </c>
    </row>
    <row r="38" spans="1:4" x14ac:dyDescent="0.35">
      <c r="A38" s="16" t="s">
        <v>59</v>
      </c>
      <c r="B38" s="18">
        <f>IFERROR(AVERAGEIFS(Employee_Data!$K$2:$K$321,Employee_Data!$E$2:$E$321,$A38,Employee_Data!$C$2:$C$321,"Female",Employee_Data!$M$2:$M$321,"Active"),0)</f>
        <v>546285.71428571432</v>
      </c>
      <c r="C38" s="18">
        <f>IFERROR(AVERAGEIFS(Employee_Data!$K$2:$K$321,Employee_Data!$E$2:$E$321,$A38,Employee_Data!$C$2:$C$321,"Male",Employee_Data!$M$2:$M$321,"Active"),0)</f>
        <v>541863.63636363635</v>
      </c>
      <c r="D38" s="17">
        <f>IFERROR((C38-B38)/C38,0)</f>
        <v>-8.1608685752634219E-3</v>
      </c>
    </row>
    <row r="39" spans="1:4" x14ac:dyDescent="0.35">
      <c r="A39" s="16" t="s">
        <v>60</v>
      </c>
      <c r="B39" s="18">
        <f>IFERROR(AVERAGEIFS(Employee_Data!$K$2:$K$321,Employee_Data!$E$2:$E$321,$A39,Employee_Data!$C$2:$C$321,"Female",Employee_Data!$M$2:$M$321,"Active"),0)</f>
        <v>895000</v>
      </c>
      <c r="C39" s="18">
        <f>IFERROR(AVERAGEIFS(Employee_Data!$K$2:$K$321,Employee_Data!$E$2:$E$321,$A39,Employee_Data!$C$2:$C$321,"Male",Employee_Data!$M$2:$M$321,"Active"),0)</f>
        <v>1008400</v>
      </c>
      <c r="D39" s="17">
        <f>IFERROR((C39-B39)/C39,0)</f>
        <v>0.1124553748512495</v>
      </c>
    </row>
    <row r="40" spans="1:4" x14ac:dyDescent="0.35">
      <c r="A40" s="16" t="s">
        <v>61</v>
      </c>
      <c r="B40" s="18">
        <f>IFERROR(AVERAGEIFS(Employee_Data!$K$2:$K$321,Employee_Data!$E$2:$E$321,$A40,Employee_Data!$C$2:$C$321,"Female",Employee_Data!$M$2:$M$321,"Active"),0)</f>
        <v>1679000</v>
      </c>
      <c r="C40" s="18">
        <f>IFERROR(AVERAGEIFS(Employee_Data!$K$2:$K$321,Employee_Data!$E$2:$E$321,$A40,Employee_Data!$C$2:$C$321,"Male",Employee_Data!$M$2:$M$321,"Active"),0)</f>
        <v>1713571.4285714286</v>
      </c>
      <c r="D40" s="17">
        <f>IFERROR((C40-B40)/C40,0)</f>
        <v>2.0175072947061314E-2</v>
      </c>
    </row>
    <row r="41" spans="1:4" x14ac:dyDescent="0.35">
      <c r="A41" s="16" t="s">
        <v>62</v>
      </c>
      <c r="B41" s="18">
        <f>IFERROR(AVERAGEIFS(Employee_Data!$K$2:$K$321,Employee_Data!$E$2:$E$321,$A41,Employee_Data!$C$2:$C$321,"Female",Employee_Data!$M$2:$M$321,"Active"),0)</f>
        <v>2723500</v>
      </c>
      <c r="C41" s="18">
        <f>IFERROR(AVERAGEIFS(Employee_Data!$K$2:$K$321,Employee_Data!$E$2:$E$321,$A41,Employee_Data!$C$2:$C$321,"Male",Employee_Data!$M$2:$M$321,"Active"),0)</f>
        <v>3121428.5714285714</v>
      </c>
      <c r="D41" s="17">
        <f>IFERROR((C41-B41)/C41,0)</f>
        <v>0.12748283752860409</v>
      </c>
    </row>
    <row r="44" spans="1:4" ht="15.5" x14ac:dyDescent="0.35">
      <c r="A44" s="13" t="s">
        <v>63</v>
      </c>
    </row>
    <row r="45" spans="1:4" ht="30" customHeight="1" x14ac:dyDescent="0.35">
      <c r="A45" s="15" t="s">
        <v>64</v>
      </c>
      <c r="B45" s="15" t="s">
        <v>39</v>
      </c>
      <c r="C45" s="15" t="s">
        <v>40</v>
      </c>
    </row>
    <row r="46" spans="1:4" x14ac:dyDescent="0.35">
      <c r="A46" s="16" t="s">
        <v>65</v>
      </c>
      <c r="B46" s="16">
        <f>COUNTIFS(Employee_Data!$F$2:$F$321,$A46,Employee_Data!$M$2:$M$321,"Active")</f>
        <v>74</v>
      </c>
      <c r="C46" s="17">
        <f>IFERROR(B46/SUM(B$46:B$50),0)</f>
        <v>0.28244274809160308</v>
      </c>
    </row>
    <row r="47" spans="1:4" x14ac:dyDescent="0.35">
      <c r="A47" s="16" t="s">
        <v>66</v>
      </c>
      <c r="B47" s="16">
        <f>COUNTIFS(Employee_Data!$F$2:$F$321,$A47,Employee_Data!$M$2:$M$321,"Active")</f>
        <v>67</v>
      </c>
      <c r="C47" s="17">
        <f>IFERROR(B47/SUM(B$46:B$50),0)</f>
        <v>0.25572519083969464</v>
      </c>
    </row>
    <row r="48" spans="1:4" x14ac:dyDescent="0.35">
      <c r="A48" s="16" t="s">
        <v>67</v>
      </c>
      <c r="B48" s="16">
        <f>COUNTIFS(Employee_Data!$F$2:$F$321,$A48,Employee_Data!$M$2:$M$321,"Active")</f>
        <v>43</v>
      </c>
      <c r="C48" s="17">
        <f>IFERROR(B48/SUM(B$46:B$50),0)</f>
        <v>0.16412213740458015</v>
      </c>
    </row>
    <row r="49" spans="1:4" x14ac:dyDescent="0.35">
      <c r="A49" s="16" t="s">
        <v>68</v>
      </c>
      <c r="B49" s="16">
        <f>COUNTIFS(Employee_Data!$F$2:$F$321,$A49,Employee_Data!$M$2:$M$321,"Active")</f>
        <v>40</v>
      </c>
      <c r="C49" s="17">
        <f>IFERROR(B49/SUM(B$46:B$50),0)</f>
        <v>0.15267175572519084</v>
      </c>
    </row>
    <row r="50" spans="1:4" x14ac:dyDescent="0.35">
      <c r="A50" s="16" t="s">
        <v>69</v>
      </c>
      <c r="B50" s="16">
        <f>COUNTIFS(Employee_Data!$F$2:$F$321,$A50,Employee_Data!$M$2:$M$321,"Active")</f>
        <v>38</v>
      </c>
      <c r="C50" s="17">
        <f>IFERROR(B50/SUM(B$46:B$50),0)</f>
        <v>0.14503816793893129</v>
      </c>
    </row>
    <row r="53" spans="1:4" ht="15.5" x14ac:dyDescent="0.35">
      <c r="A53" s="13" t="s">
        <v>70</v>
      </c>
    </row>
    <row r="54" spans="1:4" ht="30" customHeight="1" x14ac:dyDescent="0.35">
      <c r="A54" s="15" t="s">
        <v>71</v>
      </c>
      <c r="B54" s="15" t="s">
        <v>39</v>
      </c>
      <c r="C54" s="15" t="s">
        <v>40</v>
      </c>
    </row>
    <row r="55" spans="1:4" x14ac:dyDescent="0.35">
      <c r="A55" s="24">
        <v>1</v>
      </c>
      <c r="B55" s="16">
        <f>COUNTIFS(Employee_Data!$L$2:$L$321,$A55,Employee_Data!$M$2:$M$321,"Active")</f>
        <v>6</v>
      </c>
      <c r="C55" s="17">
        <f>IFERROR(B55/SUM(B$55:B$59),0)</f>
        <v>2.2900763358778626E-2</v>
      </c>
    </row>
    <row r="56" spans="1:4" x14ac:dyDescent="0.35">
      <c r="A56" s="24">
        <v>2</v>
      </c>
      <c r="B56" s="16">
        <f>COUNTIFS(Employee_Data!$L$2:$L$321,$A56,Employee_Data!$M$2:$M$321,"Active")</f>
        <v>27</v>
      </c>
      <c r="C56" s="17">
        <f>IFERROR(B56/SUM(B$55:B$59),0)</f>
        <v>0.10305343511450382</v>
      </c>
    </row>
    <row r="57" spans="1:4" x14ac:dyDescent="0.35">
      <c r="A57" s="24">
        <v>3</v>
      </c>
      <c r="B57" s="16">
        <f>COUNTIFS(Employee_Data!$L$2:$L$321,$A57,Employee_Data!$M$2:$M$321,"Active")</f>
        <v>118</v>
      </c>
      <c r="C57" s="17">
        <f>IFERROR(B57/SUM(B$55:B$59),0)</f>
        <v>0.45038167938931295</v>
      </c>
    </row>
    <row r="58" spans="1:4" x14ac:dyDescent="0.35">
      <c r="A58" s="24">
        <v>4</v>
      </c>
      <c r="B58" s="16">
        <f>COUNTIFS(Employee_Data!$L$2:$L$321,$A58,Employee_Data!$M$2:$M$321,"Active")</f>
        <v>84</v>
      </c>
      <c r="C58" s="17">
        <f>IFERROR(B58/SUM(B$55:B$59),0)</f>
        <v>0.32061068702290074</v>
      </c>
    </row>
    <row r="59" spans="1:4" x14ac:dyDescent="0.35">
      <c r="A59" s="24">
        <v>5</v>
      </c>
      <c r="B59" s="16">
        <f>COUNTIFS(Employee_Data!$L$2:$L$321,$A59,Employee_Data!$M$2:$M$321,"Active")</f>
        <v>27</v>
      </c>
      <c r="C59" s="17">
        <f>IFERROR(B59/SUM(B$55:B$59),0)</f>
        <v>0.10305343511450382</v>
      </c>
    </row>
    <row r="62" spans="1:4" ht="15.5" x14ac:dyDescent="0.35">
      <c r="A62" s="13" t="s">
        <v>72</v>
      </c>
    </row>
    <row r="63" spans="1:4" ht="30" customHeight="1" x14ac:dyDescent="0.35">
      <c r="A63" s="15" t="s">
        <v>73</v>
      </c>
      <c r="B63" s="15" t="s">
        <v>74</v>
      </c>
      <c r="C63" s="15" t="s">
        <v>75</v>
      </c>
      <c r="D63" s="15" t="s">
        <v>76</v>
      </c>
    </row>
    <row r="64" spans="1:4" x14ac:dyDescent="0.35">
      <c r="A64" s="25">
        <f>EDATE(Assumptions!$B$4,0)</f>
        <v>45931</v>
      </c>
      <c r="B64" s="16">
        <f>COUNTIFS(Employee_Data!$G$2:$G$321,"&gt;="&amp;$A64,Employee_Data!$G$2:$G$321,"&lt;"&amp;EDATE($A64,1))</f>
        <v>7</v>
      </c>
      <c r="C64" s="16">
        <f>COUNTIFS(Employee_Data!$H$2:$H$321,"&gt;="&amp;$A64,Employee_Data!$H$2:$H$321,"&lt;"&amp;EDATE($A64,1))</f>
        <v>4</v>
      </c>
      <c r="D64" s="16">
        <f t="shared" ref="D64:D75" si="3">B64-C64</f>
        <v>3</v>
      </c>
    </row>
    <row r="65" spans="1:4" x14ac:dyDescent="0.35">
      <c r="A65" s="25">
        <f>EDATE(Assumptions!$B$4,1)</f>
        <v>45962</v>
      </c>
      <c r="B65" s="16">
        <f>COUNTIFS(Employee_Data!$G$2:$G$321,"&gt;="&amp;$A65,Employee_Data!$G$2:$G$321,"&lt;"&amp;EDATE($A65,1))</f>
        <v>9</v>
      </c>
      <c r="C65" s="16">
        <f>COUNTIFS(Employee_Data!$H$2:$H$321,"&gt;="&amp;$A65,Employee_Data!$H$2:$H$321,"&lt;"&amp;EDATE($A65,1))</f>
        <v>5</v>
      </c>
      <c r="D65" s="16">
        <f t="shared" si="3"/>
        <v>4</v>
      </c>
    </row>
    <row r="66" spans="1:4" x14ac:dyDescent="0.35">
      <c r="A66" s="25">
        <f>EDATE(Assumptions!$B$4,2)</f>
        <v>45992</v>
      </c>
      <c r="B66" s="16">
        <f>COUNTIFS(Employee_Data!$G$2:$G$321,"&gt;="&amp;$A66,Employee_Data!$G$2:$G$321,"&lt;"&amp;EDATE($A66,1))</f>
        <v>3</v>
      </c>
      <c r="C66" s="16">
        <f>COUNTIFS(Employee_Data!$H$2:$H$321,"&gt;="&amp;$A66,Employee_Data!$H$2:$H$321,"&lt;"&amp;EDATE($A66,1))</f>
        <v>6</v>
      </c>
      <c r="D66" s="16">
        <f t="shared" si="3"/>
        <v>-3</v>
      </c>
    </row>
    <row r="67" spans="1:4" x14ac:dyDescent="0.35">
      <c r="A67" s="25">
        <f>EDATE(Assumptions!$B$4,3)</f>
        <v>46023</v>
      </c>
      <c r="B67" s="16">
        <f>COUNTIFS(Employee_Data!$G$2:$G$321,"&gt;="&amp;$A67,Employee_Data!$G$2:$G$321,"&lt;"&amp;EDATE($A67,1))</f>
        <v>8</v>
      </c>
      <c r="C67" s="16">
        <f>COUNTIFS(Employee_Data!$H$2:$H$321,"&gt;="&amp;$A67,Employee_Data!$H$2:$H$321,"&lt;"&amp;EDATE($A67,1))</f>
        <v>3</v>
      </c>
      <c r="D67" s="16">
        <f t="shared" si="3"/>
        <v>5</v>
      </c>
    </row>
    <row r="68" spans="1:4" x14ac:dyDescent="0.35">
      <c r="A68" s="25">
        <f>EDATE(Assumptions!$B$4,4)</f>
        <v>46054</v>
      </c>
      <c r="B68" s="16">
        <f>COUNTIFS(Employee_Data!$G$2:$G$321,"&gt;="&amp;$A68,Employee_Data!$G$2:$G$321,"&lt;"&amp;EDATE($A68,1))</f>
        <v>8</v>
      </c>
      <c r="C68" s="16">
        <f>COUNTIFS(Employee_Data!$H$2:$H$321,"&gt;="&amp;$A68,Employee_Data!$H$2:$H$321,"&lt;"&amp;EDATE($A68,1))</f>
        <v>3</v>
      </c>
      <c r="D68" s="16">
        <f t="shared" si="3"/>
        <v>5</v>
      </c>
    </row>
    <row r="69" spans="1:4" x14ac:dyDescent="0.35">
      <c r="A69" s="25">
        <f>EDATE(Assumptions!$B$4,5)</f>
        <v>46082</v>
      </c>
      <c r="B69" s="16">
        <f>COUNTIFS(Employee_Data!$G$2:$G$321,"&gt;="&amp;$A69,Employee_Data!$G$2:$G$321,"&lt;"&amp;EDATE($A69,1))</f>
        <v>6</v>
      </c>
      <c r="C69" s="16">
        <f>COUNTIFS(Employee_Data!$H$2:$H$321,"&gt;="&amp;$A69,Employee_Data!$H$2:$H$321,"&lt;"&amp;EDATE($A69,1))</f>
        <v>7</v>
      </c>
      <c r="D69" s="16">
        <f t="shared" si="3"/>
        <v>-1</v>
      </c>
    </row>
    <row r="70" spans="1:4" x14ac:dyDescent="0.35">
      <c r="A70" s="25">
        <f>EDATE(Assumptions!$B$4,6)</f>
        <v>46113</v>
      </c>
      <c r="B70" s="16">
        <f>COUNTIFS(Employee_Data!$G$2:$G$321,"&gt;="&amp;$A70,Employee_Data!$G$2:$G$321,"&lt;"&amp;EDATE($A70,1))</f>
        <v>5</v>
      </c>
      <c r="C70" s="16">
        <f>COUNTIFS(Employee_Data!$H$2:$H$321,"&gt;="&amp;$A70,Employee_Data!$H$2:$H$321,"&lt;"&amp;EDATE($A70,1))</f>
        <v>6</v>
      </c>
      <c r="D70" s="16">
        <f t="shared" si="3"/>
        <v>-1</v>
      </c>
    </row>
    <row r="71" spans="1:4" x14ac:dyDescent="0.35">
      <c r="A71" s="25">
        <f>EDATE(Assumptions!$B$4,7)</f>
        <v>46143</v>
      </c>
      <c r="B71" s="16">
        <f>COUNTIFS(Employee_Data!$G$2:$G$321,"&gt;="&amp;$A71,Employee_Data!$G$2:$G$321,"&lt;"&amp;EDATE($A71,1))</f>
        <v>4</v>
      </c>
      <c r="C71" s="16">
        <f>COUNTIFS(Employee_Data!$H$2:$H$321,"&gt;="&amp;$A71,Employee_Data!$H$2:$H$321,"&lt;"&amp;EDATE($A71,1))</f>
        <v>4</v>
      </c>
      <c r="D71" s="16">
        <f t="shared" si="3"/>
        <v>0</v>
      </c>
    </row>
    <row r="72" spans="1:4" x14ac:dyDescent="0.35">
      <c r="A72" s="25">
        <f>EDATE(Assumptions!$B$4,8)</f>
        <v>46174</v>
      </c>
      <c r="B72" s="16">
        <f>COUNTIFS(Employee_Data!$G$2:$G$321,"&gt;="&amp;$A72,Employee_Data!$G$2:$G$321,"&lt;"&amp;EDATE($A72,1))</f>
        <v>5</v>
      </c>
      <c r="C72" s="16">
        <f>COUNTIFS(Employee_Data!$H$2:$H$321,"&gt;="&amp;$A72,Employee_Data!$H$2:$H$321,"&lt;"&amp;EDATE($A72,1))</f>
        <v>4</v>
      </c>
      <c r="D72" s="16">
        <f t="shared" si="3"/>
        <v>1</v>
      </c>
    </row>
    <row r="73" spans="1:4" x14ac:dyDescent="0.35">
      <c r="A73" s="25">
        <f>EDATE(Assumptions!$B$4,9)</f>
        <v>46204</v>
      </c>
      <c r="B73" s="16">
        <f>COUNTIFS(Employee_Data!$G$2:$G$321,"&gt;="&amp;$A73,Employee_Data!$G$2:$G$321,"&lt;"&amp;EDATE($A73,1))</f>
        <v>8</v>
      </c>
      <c r="C73" s="16">
        <f>COUNTIFS(Employee_Data!$H$2:$H$321,"&gt;="&amp;$A73,Employee_Data!$H$2:$H$321,"&lt;"&amp;EDATE($A73,1))</f>
        <v>6</v>
      </c>
      <c r="D73" s="16">
        <f t="shared" si="3"/>
        <v>2</v>
      </c>
    </row>
    <row r="74" spans="1:4" x14ac:dyDescent="0.35">
      <c r="A74" s="25">
        <f>EDATE(Assumptions!$B$4,10)</f>
        <v>46235</v>
      </c>
      <c r="B74" s="16">
        <f>COUNTIFS(Employee_Data!$G$2:$G$321,"&gt;="&amp;$A74,Employee_Data!$G$2:$G$321,"&lt;"&amp;EDATE($A74,1))</f>
        <v>1</v>
      </c>
      <c r="C74" s="16">
        <f>COUNTIFS(Employee_Data!$H$2:$H$321,"&gt;="&amp;$A74,Employee_Data!$H$2:$H$321,"&lt;"&amp;EDATE($A74,1))</f>
        <v>4</v>
      </c>
      <c r="D74" s="16">
        <f t="shared" si="3"/>
        <v>-3</v>
      </c>
    </row>
    <row r="75" spans="1:4" x14ac:dyDescent="0.35">
      <c r="A75" s="25">
        <f>EDATE(Assumptions!$B$4,11)</f>
        <v>46266</v>
      </c>
      <c r="B75" s="16">
        <f>COUNTIFS(Employee_Data!$G$2:$G$321,"&gt;="&amp;$A75,Employee_Data!$G$2:$G$321,"&lt;"&amp;EDATE($A75,1))</f>
        <v>1</v>
      </c>
      <c r="C75" s="16">
        <f>COUNTIFS(Employee_Data!$H$2:$H$321,"&gt;="&amp;$A75,Employee_Data!$H$2:$H$321,"&lt;"&amp;EDATE($A75,1))</f>
        <v>6</v>
      </c>
      <c r="D75" s="16">
        <f t="shared" si="3"/>
        <v>-5</v>
      </c>
    </row>
  </sheetData>
  <conditionalFormatting sqref="K7:K13">
    <cfRule type="colorScale" priority="2">
      <colorScale>
        <cfvo type="min"/>
        <cfvo type="max"/>
        <color rgb="FFFFFFFF"/>
        <color rgb="FFF8696B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7" sqref="A7"/>
    </sheetView>
  </sheetViews>
  <sheetFormatPr defaultColWidth="8.6328125" defaultRowHeight="14.5" x14ac:dyDescent="0.35"/>
  <cols>
    <col min="1" max="1" width="9" customWidth="1"/>
    <col min="2" max="2" width="20" customWidth="1"/>
    <col min="3" max="3" width="9" customWidth="1"/>
    <col min="4" max="4" width="17" customWidth="1"/>
    <col min="5" max="5" width="11" customWidth="1"/>
    <col min="6" max="6" width="12" customWidth="1"/>
    <col min="7" max="8" width="13" customWidth="1"/>
    <col min="9" max="9" width="22" customWidth="1"/>
    <col min="10" max="10" width="6" customWidth="1"/>
    <col min="11" max="11" width="14" customWidth="1"/>
    <col min="12" max="12" width="13" customWidth="1"/>
    <col min="13" max="13" width="9" customWidth="1"/>
    <col min="14" max="14" width="12" customWidth="1"/>
    <col min="15" max="15" width="9" customWidth="1"/>
    <col min="16" max="17" width="13" customWidth="1"/>
    <col min="18" max="18" width="10" customWidth="1"/>
  </cols>
  <sheetData>
    <row r="1" spans="1:18" ht="31.5" customHeight="1" x14ac:dyDescent="0.35">
      <c r="A1" s="15" t="s">
        <v>77</v>
      </c>
      <c r="B1" s="15" t="s">
        <v>78</v>
      </c>
      <c r="C1" s="15" t="s">
        <v>79</v>
      </c>
      <c r="D1" s="15" t="s">
        <v>18</v>
      </c>
      <c r="E1" s="15" t="s">
        <v>54</v>
      </c>
      <c r="F1" s="15" t="s">
        <v>64</v>
      </c>
      <c r="G1" s="15" t="s">
        <v>80</v>
      </c>
      <c r="H1" s="15" t="s">
        <v>81</v>
      </c>
      <c r="I1" s="15" t="s">
        <v>82</v>
      </c>
      <c r="J1" s="15" t="s">
        <v>83</v>
      </c>
      <c r="K1" s="15" t="s">
        <v>84</v>
      </c>
      <c r="L1" s="15" t="s">
        <v>85</v>
      </c>
      <c r="M1" s="15" t="s">
        <v>86</v>
      </c>
      <c r="N1" s="15" t="s">
        <v>87</v>
      </c>
      <c r="O1" s="15" t="s">
        <v>88</v>
      </c>
      <c r="P1" s="15" t="s">
        <v>38</v>
      </c>
      <c r="Q1" s="15" t="s">
        <v>47</v>
      </c>
      <c r="R1" s="15" t="s">
        <v>89</v>
      </c>
    </row>
    <row r="2" spans="1:18" x14ac:dyDescent="0.35">
      <c r="A2" s="26" t="s">
        <v>90</v>
      </c>
      <c r="B2" s="26" t="s">
        <v>91</v>
      </c>
      <c r="C2" s="26" t="s">
        <v>20</v>
      </c>
      <c r="D2" s="26" t="s">
        <v>30</v>
      </c>
      <c r="E2" s="26" t="s">
        <v>58</v>
      </c>
      <c r="F2" s="26" t="s">
        <v>66</v>
      </c>
      <c r="G2" s="27">
        <v>41182</v>
      </c>
      <c r="H2" s="27"/>
      <c r="I2" s="26"/>
      <c r="J2" s="26">
        <v>27</v>
      </c>
      <c r="K2" s="28">
        <v>290000</v>
      </c>
      <c r="L2" s="26">
        <v>5</v>
      </c>
      <c r="M2" s="14" t="str">
        <f t="shared" ref="M2:M65" si="0">IF(H2="","Active","Exited")</f>
        <v>Active</v>
      </c>
      <c r="N2" s="14" t="str">
        <f t="shared" ref="N2:N65" si="1">IF(H2="","",IF(OR(I2="Performance Termination",I2="Restructuring"),"Involuntary","Voluntary"))</f>
        <v/>
      </c>
      <c r="O2" s="29">
        <f>(IF(H2="",Assumptions!$B$3,H2)-G2)/365.25</f>
        <v>13.998631074606434</v>
      </c>
      <c r="P2" s="14" t="str">
        <f t="shared" ref="P2:P65" si="2">IF(J2&lt;25,"Under 25",IF(J2&lt;35,"25 to 34",IF(J2&lt;45,"35 to 44",IF(J2&lt;55,"45 to 54","55 and above"))))</f>
        <v>25 to 34</v>
      </c>
      <c r="Q2" s="14" t="str">
        <f t="shared" ref="Q2:Q65" si="3">IF(O2&lt;1,"Under 1 yr",IF(O2&lt;3,"1 to 3 yrs",IF(O2&lt;5,"3 to 5 yrs",IF(O2&lt;10,"5 to 10 yrs","10+ yrs"))))</f>
        <v>10+ yrs</v>
      </c>
      <c r="R2" s="30">
        <f>K2/INDEX(Assumptions!$B$9:$B$13,MATCH(E2,Assumptions!$A$9:$A$13,0))</f>
        <v>0.82857142857142863</v>
      </c>
    </row>
    <row r="3" spans="1:18" x14ac:dyDescent="0.35">
      <c r="A3" s="26" t="s">
        <v>92</v>
      </c>
      <c r="B3" s="26" t="s">
        <v>93</v>
      </c>
      <c r="C3" s="26" t="s">
        <v>21</v>
      </c>
      <c r="D3" s="26" t="s">
        <v>30</v>
      </c>
      <c r="E3" s="26" t="s">
        <v>60</v>
      </c>
      <c r="F3" s="26" t="s">
        <v>65</v>
      </c>
      <c r="G3" s="27">
        <v>41182</v>
      </c>
      <c r="H3" s="27"/>
      <c r="I3" s="26"/>
      <c r="J3" s="26">
        <v>38</v>
      </c>
      <c r="K3" s="28">
        <v>833000</v>
      </c>
      <c r="L3" s="26">
        <v>4</v>
      </c>
      <c r="M3" s="14" t="str">
        <f t="shared" si="0"/>
        <v>Active</v>
      </c>
      <c r="N3" s="14" t="str">
        <f t="shared" si="1"/>
        <v/>
      </c>
      <c r="O3" s="29">
        <f>(IF(H3="",Assumptions!$B$3,H3)-G3)/365.25</f>
        <v>13.998631074606434</v>
      </c>
      <c r="P3" s="14" t="str">
        <f t="shared" si="2"/>
        <v>35 to 44</v>
      </c>
      <c r="Q3" s="14" t="str">
        <f t="shared" si="3"/>
        <v>10+ yrs</v>
      </c>
      <c r="R3" s="30">
        <f>K3/INDEX(Assumptions!$B$9:$B$13,MATCH(E3,Assumptions!$A$9:$A$13,0))</f>
        <v>0.87684210526315787</v>
      </c>
    </row>
    <row r="4" spans="1:18" x14ac:dyDescent="0.35">
      <c r="A4" s="26" t="s">
        <v>94</v>
      </c>
      <c r="B4" s="26" t="s">
        <v>95</v>
      </c>
      <c r="C4" s="26" t="s">
        <v>20</v>
      </c>
      <c r="D4" s="26" t="s">
        <v>31</v>
      </c>
      <c r="E4" s="26" t="s">
        <v>59</v>
      </c>
      <c r="F4" s="26" t="s">
        <v>65</v>
      </c>
      <c r="G4" s="27">
        <v>41182</v>
      </c>
      <c r="H4" s="27"/>
      <c r="I4" s="26"/>
      <c r="J4" s="26">
        <v>31</v>
      </c>
      <c r="K4" s="28">
        <v>685000</v>
      </c>
      <c r="L4" s="26">
        <v>4</v>
      </c>
      <c r="M4" s="14" t="str">
        <f t="shared" si="0"/>
        <v>Active</v>
      </c>
      <c r="N4" s="14" t="str">
        <f t="shared" si="1"/>
        <v/>
      </c>
      <c r="O4" s="29">
        <f>(IF(H4="",Assumptions!$B$3,H4)-G4)/365.25</f>
        <v>13.998631074606434</v>
      </c>
      <c r="P4" s="14" t="str">
        <f t="shared" si="2"/>
        <v>25 to 34</v>
      </c>
      <c r="Q4" s="14" t="str">
        <f t="shared" si="3"/>
        <v>10+ yrs</v>
      </c>
      <c r="R4" s="30">
        <f>K4/INDEX(Assumptions!$B$9:$B$13,MATCH(E4,Assumptions!$A$9:$A$13,0))</f>
        <v>1.2454545454545454</v>
      </c>
    </row>
    <row r="5" spans="1:18" x14ac:dyDescent="0.35">
      <c r="A5" s="26" t="s">
        <v>96</v>
      </c>
      <c r="B5" s="26" t="s">
        <v>97</v>
      </c>
      <c r="C5" s="26" t="s">
        <v>21</v>
      </c>
      <c r="D5" s="26" t="s">
        <v>31</v>
      </c>
      <c r="E5" s="26" t="s">
        <v>58</v>
      </c>
      <c r="F5" s="26" t="s">
        <v>68</v>
      </c>
      <c r="G5" s="27">
        <v>41182</v>
      </c>
      <c r="H5" s="27"/>
      <c r="I5" s="26"/>
      <c r="J5" s="26">
        <v>28</v>
      </c>
      <c r="K5" s="28">
        <v>423000</v>
      </c>
      <c r="L5" s="26">
        <v>4</v>
      </c>
      <c r="M5" s="14" t="str">
        <f t="shared" si="0"/>
        <v>Active</v>
      </c>
      <c r="N5" s="14" t="str">
        <f t="shared" si="1"/>
        <v/>
      </c>
      <c r="O5" s="29">
        <f>(IF(H5="",Assumptions!$B$3,H5)-G5)/365.25</f>
        <v>13.998631074606434</v>
      </c>
      <c r="P5" s="14" t="str">
        <f t="shared" si="2"/>
        <v>25 to 34</v>
      </c>
      <c r="Q5" s="14" t="str">
        <f t="shared" si="3"/>
        <v>10+ yrs</v>
      </c>
      <c r="R5" s="30">
        <f>K5/INDEX(Assumptions!$B$9:$B$13,MATCH(E5,Assumptions!$A$9:$A$13,0))</f>
        <v>1.2085714285714286</v>
      </c>
    </row>
    <row r="6" spans="1:18" x14ac:dyDescent="0.35">
      <c r="A6" s="26" t="s">
        <v>98</v>
      </c>
      <c r="B6" s="26" t="s">
        <v>99</v>
      </c>
      <c r="C6" s="26" t="s">
        <v>21</v>
      </c>
      <c r="D6" s="26" t="s">
        <v>31</v>
      </c>
      <c r="E6" s="26" t="s">
        <v>58</v>
      </c>
      <c r="F6" s="26" t="s">
        <v>69</v>
      </c>
      <c r="G6" s="27">
        <v>41182</v>
      </c>
      <c r="H6" s="27"/>
      <c r="I6" s="26"/>
      <c r="J6" s="26">
        <v>27</v>
      </c>
      <c r="K6" s="28">
        <v>419000</v>
      </c>
      <c r="L6" s="26">
        <v>5</v>
      </c>
      <c r="M6" s="14" t="str">
        <f t="shared" si="0"/>
        <v>Active</v>
      </c>
      <c r="N6" s="14" t="str">
        <f t="shared" si="1"/>
        <v/>
      </c>
      <c r="O6" s="29">
        <f>(IF(H6="",Assumptions!$B$3,H6)-G6)/365.25</f>
        <v>13.998631074606434</v>
      </c>
      <c r="P6" s="14" t="str">
        <f t="shared" si="2"/>
        <v>25 to 34</v>
      </c>
      <c r="Q6" s="14" t="str">
        <f t="shared" si="3"/>
        <v>10+ yrs</v>
      </c>
      <c r="R6" s="30">
        <f>K6/INDEX(Assumptions!$B$9:$B$13,MATCH(E6,Assumptions!$A$9:$A$13,0))</f>
        <v>1.1971428571428571</v>
      </c>
    </row>
    <row r="7" spans="1:18" x14ac:dyDescent="0.35">
      <c r="A7" s="26" t="s">
        <v>100</v>
      </c>
      <c r="B7" s="26" t="s">
        <v>101</v>
      </c>
      <c r="C7" s="26" t="s">
        <v>20</v>
      </c>
      <c r="D7" s="26" t="s">
        <v>33</v>
      </c>
      <c r="E7" s="26" t="s">
        <v>59</v>
      </c>
      <c r="F7" s="26" t="s">
        <v>69</v>
      </c>
      <c r="G7" s="27">
        <v>41182</v>
      </c>
      <c r="H7" s="27"/>
      <c r="I7" s="26"/>
      <c r="J7" s="26">
        <v>33</v>
      </c>
      <c r="K7" s="28">
        <v>628000</v>
      </c>
      <c r="L7" s="26">
        <v>2</v>
      </c>
      <c r="M7" s="14" t="str">
        <f t="shared" si="0"/>
        <v>Active</v>
      </c>
      <c r="N7" s="14" t="str">
        <f t="shared" si="1"/>
        <v/>
      </c>
      <c r="O7" s="29">
        <f>(IF(H7="",Assumptions!$B$3,H7)-G7)/365.25</f>
        <v>13.998631074606434</v>
      </c>
      <c r="P7" s="14" t="str">
        <f t="shared" si="2"/>
        <v>25 to 34</v>
      </c>
      <c r="Q7" s="14" t="str">
        <f t="shared" si="3"/>
        <v>10+ yrs</v>
      </c>
      <c r="R7" s="30">
        <f>K7/INDEX(Assumptions!$B$9:$B$13,MATCH(E7,Assumptions!$A$9:$A$13,0))</f>
        <v>1.1418181818181818</v>
      </c>
    </row>
    <row r="8" spans="1:18" x14ac:dyDescent="0.35">
      <c r="A8" s="26" t="s">
        <v>102</v>
      </c>
      <c r="B8" s="26" t="s">
        <v>103</v>
      </c>
      <c r="C8" s="26" t="s">
        <v>20</v>
      </c>
      <c r="D8" s="26" t="s">
        <v>34</v>
      </c>
      <c r="E8" s="26" t="s">
        <v>58</v>
      </c>
      <c r="F8" s="26" t="s">
        <v>65</v>
      </c>
      <c r="G8" s="27">
        <v>41182</v>
      </c>
      <c r="H8" s="27"/>
      <c r="I8" s="26"/>
      <c r="J8" s="26">
        <v>26</v>
      </c>
      <c r="K8" s="28">
        <v>348000</v>
      </c>
      <c r="L8" s="26">
        <v>1</v>
      </c>
      <c r="M8" s="14" t="str">
        <f t="shared" si="0"/>
        <v>Active</v>
      </c>
      <c r="N8" s="14" t="str">
        <f t="shared" si="1"/>
        <v/>
      </c>
      <c r="O8" s="29">
        <f>(IF(H8="",Assumptions!$B$3,H8)-G8)/365.25</f>
        <v>13.998631074606434</v>
      </c>
      <c r="P8" s="14" t="str">
        <f t="shared" si="2"/>
        <v>25 to 34</v>
      </c>
      <c r="Q8" s="14" t="str">
        <f t="shared" si="3"/>
        <v>10+ yrs</v>
      </c>
      <c r="R8" s="30">
        <f>K8/INDEX(Assumptions!$B$9:$B$13,MATCH(E8,Assumptions!$A$9:$A$13,0))</f>
        <v>0.99428571428571433</v>
      </c>
    </row>
    <row r="9" spans="1:18" x14ac:dyDescent="0.35">
      <c r="A9" s="26" t="s">
        <v>104</v>
      </c>
      <c r="B9" s="26" t="s">
        <v>105</v>
      </c>
      <c r="C9" s="26" t="s">
        <v>21</v>
      </c>
      <c r="D9" s="26" t="s">
        <v>35</v>
      </c>
      <c r="E9" s="26" t="s">
        <v>60</v>
      </c>
      <c r="F9" s="26" t="s">
        <v>66</v>
      </c>
      <c r="G9" s="27">
        <v>41182</v>
      </c>
      <c r="H9" s="27"/>
      <c r="I9" s="26"/>
      <c r="J9" s="26">
        <v>38</v>
      </c>
      <c r="K9" s="28">
        <v>931000</v>
      </c>
      <c r="L9" s="26">
        <v>3</v>
      </c>
      <c r="M9" s="14" t="str">
        <f t="shared" si="0"/>
        <v>Active</v>
      </c>
      <c r="N9" s="14" t="str">
        <f t="shared" si="1"/>
        <v/>
      </c>
      <c r="O9" s="29">
        <f>(IF(H9="",Assumptions!$B$3,H9)-G9)/365.25</f>
        <v>13.998631074606434</v>
      </c>
      <c r="P9" s="14" t="str">
        <f t="shared" si="2"/>
        <v>35 to 44</v>
      </c>
      <c r="Q9" s="14" t="str">
        <f t="shared" si="3"/>
        <v>10+ yrs</v>
      </c>
      <c r="R9" s="30">
        <f>K9/INDEX(Assumptions!$B$9:$B$13,MATCH(E9,Assumptions!$A$9:$A$13,0))</f>
        <v>0.98</v>
      </c>
    </row>
    <row r="10" spans="1:18" x14ac:dyDescent="0.35">
      <c r="A10" s="26" t="s">
        <v>106</v>
      </c>
      <c r="B10" s="26" t="s">
        <v>107</v>
      </c>
      <c r="C10" s="26" t="s">
        <v>20</v>
      </c>
      <c r="D10" s="26" t="s">
        <v>29</v>
      </c>
      <c r="E10" s="26" t="s">
        <v>59</v>
      </c>
      <c r="F10" s="26" t="s">
        <v>69</v>
      </c>
      <c r="G10" s="27">
        <v>41273</v>
      </c>
      <c r="H10" s="27"/>
      <c r="I10" s="26"/>
      <c r="J10" s="26">
        <v>29</v>
      </c>
      <c r="K10" s="28">
        <v>555000</v>
      </c>
      <c r="L10" s="26">
        <v>3</v>
      </c>
      <c r="M10" s="14" t="str">
        <f t="shared" si="0"/>
        <v>Active</v>
      </c>
      <c r="N10" s="14" t="str">
        <f t="shared" si="1"/>
        <v/>
      </c>
      <c r="O10" s="29">
        <f>(IF(H10="",Assumptions!$B$3,H10)-G10)/365.25</f>
        <v>13.749486652977414</v>
      </c>
      <c r="P10" s="14" t="str">
        <f t="shared" si="2"/>
        <v>25 to 34</v>
      </c>
      <c r="Q10" s="14" t="str">
        <f t="shared" si="3"/>
        <v>10+ yrs</v>
      </c>
      <c r="R10" s="30">
        <f>K10/INDEX(Assumptions!$B$9:$B$13,MATCH(E10,Assumptions!$A$9:$A$13,0))</f>
        <v>1.009090909090909</v>
      </c>
    </row>
    <row r="11" spans="1:18" x14ac:dyDescent="0.35">
      <c r="A11" s="26" t="s">
        <v>108</v>
      </c>
      <c r="B11" s="26" t="s">
        <v>109</v>
      </c>
      <c r="C11" s="26" t="s">
        <v>20</v>
      </c>
      <c r="D11" s="26" t="s">
        <v>34</v>
      </c>
      <c r="E11" s="26" t="s">
        <v>61</v>
      </c>
      <c r="F11" s="26" t="s">
        <v>67</v>
      </c>
      <c r="G11" s="27">
        <v>41524</v>
      </c>
      <c r="H11" s="27"/>
      <c r="I11" s="26"/>
      <c r="J11" s="26">
        <v>36</v>
      </c>
      <c r="K11" s="28">
        <v>1736000</v>
      </c>
      <c r="L11" s="26">
        <v>4</v>
      </c>
      <c r="M11" s="14" t="str">
        <f t="shared" si="0"/>
        <v>Active</v>
      </c>
      <c r="N11" s="14" t="str">
        <f t="shared" si="1"/>
        <v/>
      </c>
      <c r="O11" s="29">
        <f>(IF(H11="",Assumptions!$B$3,H11)-G11)/365.25</f>
        <v>13.062286105407255</v>
      </c>
      <c r="P11" s="14" t="str">
        <f t="shared" si="2"/>
        <v>35 to 44</v>
      </c>
      <c r="Q11" s="14" t="str">
        <f t="shared" si="3"/>
        <v>10+ yrs</v>
      </c>
      <c r="R11" s="30">
        <f>K11/INDEX(Assumptions!$B$9:$B$13,MATCH(E11,Assumptions!$A$9:$A$13,0))</f>
        <v>1.052121212121212</v>
      </c>
    </row>
    <row r="12" spans="1:18" x14ac:dyDescent="0.35">
      <c r="A12" s="26" t="s">
        <v>110</v>
      </c>
      <c r="B12" s="26" t="s">
        <v>111</v>
      </c>
      <c r="C12" s="26" t="s">
        <v>20</v>
      </c>
      <c r="D12" s="26" t="s">
        <v>33</v>
      </c>
      <c r="E12" s="26" t="s">
        <v>58</v>
      </c>
      <c r="F12" s="26" t="s">
        <v>67</v>
      </c>
      <c r="G12" s="27">
        <v>41588</v>
      </c>
      <c r="H12" s="27"/>
      <c r="I12" s="26"/>
      <c r="J12" s="26">
        <v>26</v>
      </c>
      <c r="K12" s="28">
        <v>347000</v>
      </c>
      <c r="L12" s="26">
        <v>3</v>
      </c>
      <c r="M12" s="14" t="str">
        <f t="shared" si="0"/>
        <v>Active</v>
      </c>
      <c r="N12" s="14" t="str">
        <f t="shared" si="1"/>
        <v/>
      </c>
      <c r="O12" s="29">
        <f>(IF(H12="",Assumptions!$B$3,H12)-G12)/365.25</f>
        <v>12.887063655030801</v>
      </c>
      <c r="P12" s="14" t="str">
        <f t="shared" si="2"/>
        <v>25 to 34</v>
      </c>
      <c r="Q12" s="14" t="str">
        <f t="shared" si="3"/>
        <v>10+ yrs</v>
      </c>
      <c r="R12" s="30">
        <f>K12/INDEX(Assumptions!$B$9:$B$13,MATCH(E12,Assumptions!$A$9:$A$13,0))</f>
        <v>0.99142857142857144</v>
      </c>
    </row>
    <row r="13" spans="1:18" x14ac:dyDescent="0.35">
      <c r="A13" s="26" t="s">
        <v>112</v>
      </c>
      <c r="B13" s="26" t="s">
        <v>113</v>
      </c>
      <c r="C13" s="26" t="s">
        <v>21</v>
      </c>
      <c r="D13" s="26" t="s">
        <v>32</v>
      </c>
      <c r="E13" s="26" t="s">
        <v>58</v>
      </c>
      <c r="F13" s="26" t="s">
        <v>65</v>
      </c>
      <c r="G13" s="27">
        <v>42028</v>
      </c>
      <c r="H13" s="27"/>
      <c r="I13" s="26"/>
      <c r="J13" s="26">
        <v>26</v>
      </c>
      <c r="K13" s="28">
        <v>360000</v>
      </c>
      <c r="L13" s="26">
        <v>4</v>
      </c>
      <c r="M13" s="14" t="str">
        <f t="shared" si="0"/>
        <v>Active</v>
      </c>
      <c r="N13" s="14" t="str">
        <f t="shared" si="1"/>
        <v/>
      </c>
      <c r="O13" s="29">
        <f>(IF(H13="",Assumptions!$B$3,H13)-G13)/365.25</f>
        <v>11.682409308692677</v>
      </c>
      <c r="P13" s="14" t="str">
        <f t="shared" si="2"/>
        <v>25 to 34</v>
      </c>
      <c r="Q13" s="14" t="str">
        <f t="shared" si="3"/>
        <v>10+ yrs</v>
      </c>
      <c r="R13" s="30">
        <f>K13/INDEX(Assumptions!$B$9:$B$13,MATCH(E13,Assumptions!$A$9:$A$13,0))</f>
        <v>1.0285714285714285</v>
      </c>
    </row>
    <row r="14" spans="1:18" x14ac:dyDescent="0.35">
      <c r="A14" s="26" t="s">
        <v>114</v>
      </c>
      <c r="B14" s="26" t="s">
        <v>115</v>
      </c>
      <c r="C14" s="26" t="s">
        <v>21</v>
      </c>
      <c r="D14" s="26" t="s">
        <v>31</v>
      </c>
      <c r="E14" s="26" t="s">
        <v>58</v>
      </c>
      <c r="F14" s="26" t="s">
        <v>67</v>
      </c>
      <c r="G14" s="27">
        <v>42064</v>
      </c>
      <c r="H14" s="27"/>
      <c r="I14" s="26"/>
      <c r="J14" s="26">
        <v>28</v>
      </c>
      <c r="K14" s="28">
        <v>452000</v>
      </c>
      <c r="L14" s="26">
        <v>4</v>
      </c>
      <c r="M14" s="14" t="str">
        <f t="shared" si="0"/>
        <v>Active</v>
      </c>
      <c r="N14" s="14" t="str">
        <f t="shared" si="1"/>
        <v/>
      </c>
      <c r="O14" s="29">
        <f>(IF(H14="",Assumptions!$B$3,H14)-G14)/365.25</f>
        <v>11.58384668035592</v>
      </c>
      <c r="P14" s="14" t="str">
        <f t="shared" si="2"/>
        <v>25 to 34</v>
      </c>
      <c r="Q14" s="14" t="str">
        <f t="shared" si="3"/>
        <v>10+ yrs</v>
      </c>
      <c r="R14" s="30">
        <f>K14/INDEX(Assumptions!$B$9:$B$13,MATCH(E14,Assumptions!$A$9:$A$13,0))</f>
        <v>1.2914285714285714</v>
      </c>
    </row>
    <row r="15" spans="1:18" x14ac:dyDescent="0.35">
      <c r="A15" s="26" t="s">
        <v>116</v>
      </c>
      <c r="B15" s="26" t="s">
        <v>117</v>
      </c>
      <c r="C15" s="26" t="s">
        <v>21</v>
      </c>
      <c r="D15" s="26" t="s">
        <v>35</v>
      </c>
      <c r="E15" s="26" t="s">
        <v>62</v>
      </c>
      <c r="F15" s="26" t="s">
        <v>66</v>
      </c>
      <c r="G15" s="27">
        <v>42205</v>
      </c>
      <c r="H15" s="27"/>
      <c r="I15" s="26"/>
      <c r="J15" s="26">
        <v>51</v>
      </c>
      <c r="K15" s="28">
        <v>2780000</v>
      </c>
      <c r="L15" s="26">
        <v>3</v>
      </c>
      <c r="M15" s="14" t="str">
        <f t="shared" si="0"/>
        <v>Active</v>
      </c>
      <c r="N15" s="14" t="str">
        <f t="shared" si="1"/>
        <v/>
      </c>
      <c r="O15" s="29">
        <f>(IF(H15="",Assumptions!$B$3,H15)-G15)/365.25</f>
        <v>11.197809719370294</v>
      </c>
      <c r="P15" s="14" t="str">
        <f t="shared" si="2"/>
        <v>45 to 54</v>
      </c>
      <c r="Q15" s="14" t="str">
        <f t="shared" si="3"/>
        <v>10+ yrs</v>
      </c>
      <c r="R15" s="30">
        <f>K15/INDEX(Assumptions!$B$9:$B$13,MATCH(E15,Assumptions!$A$9:$A$13,0))</f>
        <v>0.92666666666666664</v>
      </c>
    </row>
    <row r="16" spans="1:18" x14ac:dyDescent="0.35">
      <c r="A16" s="26" t="s">
        <v>118</v>
      </c>
      <c r="B16" s="26" t="s">
        <v>119</v>
      </c>
      <c r="C16" s="26" t="s">
        <v>21</v>
      </c>
      <c r="D16" s="26" t="s">
        <v>30</v>
      </c>
      <c r="E16" s="26" t="s">
        <v>59</v>
      </c>
      <c r="F16" s="26" t="s">
        <v>65</v>
      </c>
      <c r="G16" s="27">
        <v>42259</v>
      </c>
      <c r="H16" s="27"/>
      <c r="I16" s="26"/>
      <c r="J16" s="26">
        <v>29</v>
      </c>
      <c r="K16" s="28">
        <v>494000</v>
      </c>
      <c r="L16" s="26">
        <v>3</v>
      </c>
      <c r="M16" s="14" t="str">
        <f t="shared" si="0"/>
        <v>Active</v>
      </c>
      <c r="N16" s="14" t="str">
        <f t="shared" si="1"/>
        <v/>
      </c>
      <c r="O16" s="29">
        <f>(IF(H16="",Assumptions!$B$3,H16)-G16)/365.25</f>
        <v>11.049965776865161</v>
      </c>
      <c r="P16" s="14" t="str">
        <f t="shared" si="2"/>
        <v>25 to 34</v>
      </c>
      <c r="Q16" s="14" t="str">
        <f t="shared" si="3"/>
        <v>10+ yrs</v>
      </c>
      <c r="R16" s="30">
        <f>K16/INDEX(Assumptions!$B$9:$B$13,MATCH(E16,Assumptions!$A$9:$A$13,0))</f>
        <v>0.89818181818181819</v>
      </c>
    </row>
    <row r="17" spans="1:18" x14ac:dyDescent="0.35">
      <c r="A17" s="26" t="s">
        <v>120</v>
      </c>
      <c r="B17" s="26" t="s">
        <v>121</v>
      </c>
      <c r="C17" s="26" t="s">
        <v>20</v>
      </c>
      <c r="D17" s="26" t="s">
        <v>30</v>
      </c>
      <c r="E17" s="26" t="s">
        <v>58</v>
      </c>
      <c r="F17" s="26" t="s">
        <v>68</v>
      </c>
      <c r="G17" s="27">
        <v>42597</v>
      </c>
      <c r="H17" s="27"/>
      <c r="I17" s="26"/>
      <c r="J17" s="26">
        <v>28</v>
      </c>
      <c r="K17" s="28">
        <v>326000</v>
      </c>
      <c r="L17" s="26">
        <v>3</v>
      </c>
      <c r="M17" s="14" t="str">
        <f t="shared" si="0"/>
        <v>Active</v>
      </c>
      <c r="N17" s="14" t="str">
        <f t="shared" si="1"/>
        <v/>
      </c>
      <c r="O17" s="29">
        <f>(IF(H17="",Assumptions!$B$3,H17)-G17)/365.25</f>
        <v>10.124572210814511</v>
      </c>
      <c r="P17" s="14" t="str">
        <f t="shared" si="2"/>
        <v>25 to 34</v>
      </c>
      <c r="Q17" s="14" t="str">
        <f t="shared" si="3"/>
        <v>10+ yrs</v>
      </c>
      <c r="R17" s="30">
        <f>K17/INDEX(Assumptions!$B$9:$B$13,MATCH(E17,Assumptions!$A$9:$A$13,0))</f>
        <v>0.93142857142857138</v>
      </c>
    </row>
    <row r="18" spans="1:18" x14ac:dyDescent="0.35">
      <c r="A18" s="26" t="s">
        <v>122</v>
      </c>
      <c r="B18" s="26" t="s">
        <v>123</v>
      </c>
      <c r="C18" s="26" t="s">
        <v>21</v>
      </c>
      <c r="D18" s="26" t="s">
        <v>30</v>
      </c>
      <c r="E18" s="26" t="s">
        <v>59</v>
      </c>
      <c r="F18" s="26" t="s">
        <v>65</v>
      </c>
      <c r="G18" s="27">
        <v>42617</v>
      </c>
      <c r="H18" s="27"/>
      <c r="I18" s="26"/>
      <c r="J18" s="26">
        <v>28</v>
      </c>
      <c r="K18" s="28">
        <v>462000</v>
      </c>
      <c r="L18" s="26">
        <v>3</v>
      </c>
      <c r="M18" s="14" t="str">
        <f t="shared" si="0"/>
        <v>Active</v>
      </c>
      <c r="N18" s="14" t="str">
        <f t="shared" si="1"/>
        <v/>
      </c>
      <c r="O18" s="29">
        <f>(IF(H18="",Assumptions!$B$3,H18)-G18)/365.25</f>
        <v>10.069815195071868</v>
      </c>
      <c r="P18" s="14" t="str">
        <f t="shared" si="2"/>
        <v>25 to 34</v>
      </c>
      <c r="Q18" s="14" t="str">
        <f t="shared" si="3"/>
        <v>10+ yrs</v>
      </c>
      <c r="R18" s="30">
        <f>K18/INDEX(Assumptions!$B$9:$B$13,MATCH(E18,Assumptions!$A$9:$A$13,0))</f>
        <v>0.84</v>
      </c>
    </row>
    <row r="19" spans="1:18" x14ac:dyDescent="0.35">
      <c r="A19" s="26" t="s">
        <v>124</v>
      </c>
      <c r="B19" s="26" t="s">
        <v>125</v>
      </c>
      <c r="C19" s="26" t="s">
        <v>21</v>
      </c>
      <c r="D19" s="26" t="s">
        <v>33</v>
      </c>
      <c r="E19" s="26" t="s">
        <v>59</v>
      </c>
      <c r="F19" s="26" t="s">
        <v>69</v>
      </c>
      <c r="G19" s="27">
        <v>42670</v>
      </c>
      <c r="H19" s="27"/>
      <c r="I19" s="26"/>
      <c r="J19" s="26">
        <v>33</v>
      </c>
      <c r="K19" s="28">
        <v>545000</v>
      </c>
      <c r="L19" s="26">
        <v>4</v>
      </c>
      <c r="M19" s="14" t="str">
        <f t="shared" si="0"/>
        <v>Active</v>
      </c>
      <c r="N19" s="14" t="str">
        <f t="shared" si="1"/>
        <v/>
      </c>
      <c r="O19" s="29">
        <f>(IF(H19="",Assumptions!$B$3,H19)-G19)/365.25</f>
        <v>9.9247091033538677</v>
      </c>
      <c r="P19" s="14" t="str">
        <f t="shared" si="2"/>
        <v>25 to 34</v>
      </c>
      <c r="Q19" s="14" t="str">
        <f t="shared" si="3"/>
        <v>5 to 10 yrs</v>
      </c>
      <c r="R19" s="30">
        <f>K19/INDEX(Assumptions!$B$9:$B$13,MATCH(E19,Assumptions!$A$9:$A$13,0))</f>
        <v>0.99090909090909096</v>
      </c>
    </row>
    <row r="20" spans="1:18" x14ac:dyDescent="0.35">
      <c r="A20" s="26" t="s">
        <v>126</v>
      </c>
      <c r="B20" s="26" t="s">
        <v>127</v>
      </c>
      <c r="C20" s="26" t="s">
        <v>21</v>
      </c>
      <c r="D20" s="26" t="s">
        <v>29</v>
      </c>
      <c r="E20" s="26" t="s">
        <v>62</v>
      </c>
      <c r="F20" s="26" t="s">
        <v>66</v>
      </c>
      <c r="G20" s="27">
        <v>42708</v>
      </c>
      <c r="H20" s="27"/>
      <c r="I20" s="26"/>
      <c r="J20" s="26">
        <v>47</v>
      </c>
      <c r="K20" s="28">
        <v>3137000</v>
      </c>
      <c r="L20" s="26">
        <v>2</v>
      </c>
      <c r="M20" s="14" t="str">
        <f t="shared" si="0"/>
        <v>Active</v>
      </c>
      <c r="N20" s="14" t="str">
        <f t="shared" si="1"/>
        <v/>
      </c>
      <c r="O20" s="29">
        <f>(IF(H20="",Assumptions!$B$3,H20)-G20)/365.25</f>
        <v>9.8206707734428473</v>
      </c>
      <c r="P20" s="14" t="str">
        <f t="shared" si="2"/>
        <v>45 to 54</v>
      </c>
      <c r="Q20" s="14" t="str">
        <f t="shared" si="3"/>
        <v>5 to 10 yrs</v>
      </c>
      <c r="R20" s="30">
        <f>K20/INDEX(Assumptions!$B$9:$B$13,MATCH(E20,Assumptions!$A$9:$A$13,0))</f>
        <v>1.0456666666666667</v>
      </c>
    </row>
    <row r="21" spans="1:18" x14ac:dyDescent="0.35">
      <c r="A21" s="26" t="s">
        <v>128</v>
      </c>
      <c r="B21" s="26" t="s">
        <v>129</v>
      </c>
      <c r="C21" s="26" t="s">
        <v>21</v>
      </c>
      <c r="D21" s="26" t="s">
        <v>29</v>
      </c>
      <c r="E21" s="26" t="s">
        <v>59</v>
      </c>
      <c r="F21" s="26" t="s">
        <v>69</v>
      </c>
      <c r="G21" s="27">
        <v>42773</v>
      </c>
      <c r="H21" s="27"/>
      <c r="I21" s="26"/>
      <c r="J21" s="26">
        <v>28</v>
      </c>
      <c r="K21" s="28">
        <v>473000</v>
      </c>
      <c r="L21" s="26">
        <v>3</v>
      </c>
      <c r="M21" s="14" t="str">
        <f t="shared" si="0"/>
        <v>Active</v>
      </c>
      <c r="N21" s="14" t="str">
        <f t="shared" si="1"/>
        <v/>
      </c>
      <c r="O21" s="29">
        <f>(IF(H21="",Assumptions!$B$3,H21)-G21)/365.25</f>
        <v>9.6427104722792603</v>
      </c>
      <c r="P21" s="14" t="str">
        <f t="shared" si="2"/>
        <v>25 to 34</v>
      </c>
      <c r="Q21" s="14" t="str">
        <f t="shared" si="3"/>
        <v>5 to 10 yrs</v>
      </c>
      <c r="R21" s="30">
        <f>K21/INDEX(Assumptions!$B$9:$B$13,MATCH(E21,Assumptions!$A$9:$A$13,0))</f>
        <v>0.86</v>
      </c>
    </row>
    <row r="22" spans="1:18" x14ac:dyDescent="0.35">
      <c r="A22" s="26" t="s">
        <v>130</v>
      </c>
      <c r="B22" s="26" t="s">
        <v>131</v>
      </c>
      <c r="C22" s="26" t="s">
        <v>20</v>
      </c>
      <c r="D22" s="26" t="s">
        <v>29</v>
      </c>
      <c r="E22" s="26" t="s">
        <v>58</v>
      </c>
      <c r="F22" s="26" t="s">
        <v>65</v>
      </c>
      <c r="G22" s="27">
        <v>42906</v>
      </c>
      <c r="H22" s="27"/>
      <c r="I22" s="26"/>
      <c r="J22" s="26">
        <v>28</v>
      </c>
      <c r="K22" s="28">
        <v>376000</v>
      </c>
      <c r="L22" s="26">
        <v>4</v>
      </c>
      <c r="M22" s="14" t="str">
        <f t="shared" si="0"/>
        <v>Active</v>
      </c>
      <c r="N22" s="14" t="str">
        <f t="shared" si="1"/>
        <v/>
      </c>
      <c r="O22" s="29">
        <f>(IF(H22="",Assumptions!$B$3,H22)-G22)/365.25</f>
        <v>9.2785763175906908</v>
      </c>
      <c r="P22" s="14" t="str">
        <f t="shared" si="2"/>
        <v>25 to 34</v>
      </c>
      <c r="Q22" s="14" t="str">
        <f t="shared" si="3"/>
        <v>5 to 10 yrs</v>
      </c>
      <c r="R22" s="30">
        <f>K22/INDEX(Assumptions!$B$9:$B$13,MATCH(E22,Assumptions!$A$9:$A$13,0))</f>
        <v>1.0742857142857143</v>
      </c>
    </row>
    <row r="23" spans="1:18" x14ac:dyDescent="0.35">
      <c r="A23" s="26" t="s">
        <v>132</v>
      </c>
      <c r="B23" s="26" t="s">
        <v>133</v>
      </c>
      <c r="C23" s="26" t="s">
        <v>21</v>
      </c>
      <c r="D23" s="26" t="s">
        <v>35</v>
      </c>
      <c r="E23" s="26" t="s">
        <v>60</v>
      </c>
      <c r="F23" s="26" t="s">
        <v>67</v>
      </c>
      <c r="G23" s="27">
        <v>43059</v>
      </c>
      <c r="H23" s="27"/>
      <c r="I23" s="26"/>
      <c r="J23" s="26">
        <v>38</v>
      </c>
      <c r="K23" s="28">
        <v>905000</v>
      </c>
      <c r="L23" s="26">
        <v>4</v>
      </c>
      <c r="M23" s="14" t="str">
        <f t="shared" si="0"/>
        <v>Active</v>
      </c>
      <c r="N23" s="14" t="str">
        <f t="shared" si="1"/>
        <v/>
      </c>
      <c r="O23" s="29">
        <f>(IF(H23="",Assumptions!$B$3,H23)-G23)/365.25</f>
        <v>8.85968514715948</v>
      </c>
      <c r="P23" s="14" t="str">
        <f t="shared" si="2"/>
        <v>35 to 44</v>
      </c>
      <c r="Q23" s="14" t="str">
        <f t="shared" si="3"/>
        <v>5 to 10 yrs</v>
      </c>
      <c r="R23" s="30">
        <f>K23/INDEX(Assumptions!$B$9:$B$13,MATCH(E23,Assumptions!$A$9:$A$13,0))</f>
        <v>0.95263157894736838</v>
      </c>
    </row>
    <row r="24" spans="1:18" x14ac:dyDescent="0.35">
      <c r="A24" s="26" t="s">
        <v>134</v>
      </c>
      <c r="B24" s="26" t="s">
        <v>135</v>
      </c>
      <c r="C24" s="26" t="s">
        <v>20</v>
      </c>
      <c r="D24" s="26" t="s">
        <v>29</v>
      </c>
      <c r="E24" s="26" t="s">
        <v>58</v>
      </c>
      <c r="F24" s="26" t="s">
        <v>69</v>
      </c>
      <c r="G24" s="27">
        <v>43075</v>
      </c>
      <c r="H24" s="27"/>
      <c r="I24" s="26"/>
      <c r="J24" s="26">
        <v>28</v>
      </c>
      <c r="K24" s="28">
        <v>321000</v>
      </c>
      <c r="L24" s="26">
        <v>2</v>
      </c>
      <c r="M24" s="14" t="str">
        <f t="shared" si="0"/>
        <v>Active</v>
      </c>
      <c r="N24" s="14" t="str">
        <f t="shared" si="1"/>
        <v/>
      </c>
      <c r="O24" s="29">
        <f>(IF(H24="",Assumptions!$B$3,H24)-G24)/365.25</f>
        <v>8.8158795345653669</v>
      </c>
      <c r="P24" s="14" t="str">
        <f t="shared" si="2"/>
        <v>25 to 34</v>
      </c>
      <c r="Q24" s="14" t="str">
        <f t="shared" si="3"/>
        <v>5 to 10 yrs</v>
      </c>
      <c r="R24" s="30">
        <f>K24/INDEX(Assumptions!$B$9:$B$13,MATCH(E24,Assumptions!$A$9:$A$13,0))</f>
        <v>0.91714285714285715</v>
      </c>
    </row>
    <row r="25" spans="1:18" x14ac:dyDescent="0.35">
      <c r="A25" s="26" t="s">
        <v>136</v>
      </c>
      <c r="B25" s="26" t="s">
        <v>137</v>
      </c>
      <c r="C25" s="26" t="s">
        <v>20</v>
      </c>
      <c r="D25" s="26" t="s">
        <v>30</v>
      </c>
      <c r="E25" s="26" t="s">
        <v>59</v>
      </c>
      <c r="F25" s="26" t="s">
        <v>67</v>
      </c>
      <c r="G25" s="27">
        <v>43126</v>
      </c>
      <c r="H25" s="27"/>
      <c r="I25" s="26"/>
      <c r="J25" s="26">
        <v>30</v>
      </c>
      <c r="K25" s="28">
        <v>457000</v>
      </c>
      <c r="L25" s="26">
        <v>3</v>
      </c>
      <c r="M25" s="14" t="str">
        <f t="shared" si="0"/>
        <v>Active</v>
      </c>
      <c r="N25" s="14" t="str">
        <f t="shared" si="1"/>
        <v/>
      </c>
      <c r="O25" s="29">
        <f>(IF(H25="",Assumptions!$B$3,H25)-G25)/365.25</f>
        <v>8.6762491444216288</v>
      </c>
      <c r="P25" s="14" t="str">
        <f t="shared" si="2"/>
        <v>25 to 34</v>
      </c>
      <c r="Q25" s="14" t="str">
        <f t="shared" si="3"/>
        <v>5 to 10 yrs</v>
      </c>
      <c r="R25" s="30">
        <f>K25/INDEX(Assumptions!$B$9:$B$13,MATCH(E25,Assumptions!$A$9:$A$13,0))</f>
        <v>0.83090909090909093</v>
      </c>
    </row>
    <row r="26" spans="1:18" x14ac:dyDescent="0.35">
      <c r="A26" s="26" t="s">
        <v>138</v>
      </c>
      <c r="B26" s="26" t="s">
        <v>139</v>
      </c>
      <c r="C26" s="26" t="s">
        <v>21</v>
      </c>
      <c r="D26" s="26" t="s">
        <v>30</v>
      </c>
      <c r="E26" s="26" t="s">
        <v>58</v>
      </c>
      <c r="F26" s="26" t="s">
        <v>65</v>
      </c>
      <c r="G26" s="27">
        <v>43203</v>
      </c>
      <c r="H26" s="27"/>
      <c r="I26" s="26"/>
      <c r="J26" s="26">
        <v>26</v>
      </c>
      <c r="K26" s="28">
        <v>294000</v>
      </c>
      <c r="L26" s="26">
        <v>5</v>
      </c>
      <c r="M26" s="14" t="str">
        <f t="shared" si="0"/>
        <v>Active</v>
      </c>
      <c r="N26" s="14" t="str">
        <f t="shared" si="1"/>
        <v/>
      </c>
      <c r="O26" s="29">
        <f>(IF(H26="",Assumptions!$B$3,H26)-G26)/365.25</f>
        <v>8.4654346338124569</v>
      </c>
      <c r="P26" s="14" t="str">
        <f t="shared" si="2"/>
        <v>25 to 34</v>
      </c>
      <c r="Q26" s="14" t="str">
        <f t="shared" si="3"/>
        <v>5 to 10 yrs</v>
      </c>
      <c r="R26" s="30">
        <f>K26/INDEX(Assumptions!$B$9:$B$13,MATCH(E26,Assumptions!$A$9:$A$13,0))</f>
        <v>0.84</v>
      </c>
    </row>
    <row r="27" spans="1:18" x14ac:dyDescent="0.35">
      <c r="A27" s="26" t="s">
        <v>140</v>
      </c>
      <c r="B27" s="26" t="s">
        <v>141</v>
      </c>
      <c r="C27" s="26" t="s">
        <v>21</v>
      </c>
      <c r="D27" s="26" t="s">
        <v>30</v>
      </c>
      <c r="E27" s="26" t="s">
        <v>58</v>
      </c>
      <c r="F27" s="26" t="s">
        <v>68</v>
      </c>
      <c r="G27" s="27">
        <v>43273</v>
      </c>
      <c r="H27" s="27"/>
      <c r="I27" s="26"/>
      <c r="J27" s="26">
        <v>27</v>
      </c>
      <c r="K27" s="28">
        <v>337000</v>
      </c>
      <c r="L27" s="26">
        <v>5</v>
      </c>
      <c r="M27" s="14" t="str">
        <f t="shared" si="0"/>
        <v>Active</v>
      </c>
      <c r="N27" s="14" t="str">
        <f t="shared" si="1"/>
        <v/>
      </c>
      <c r="O27" s="29">
        <f>(IF(H27="",Assumptions!$B$3,H27)-G27)/365.25</f>
        <v>8.2737850787132103</v>
      </c>
      <c r="P27" s="14" t="str">
        <f t="shared" si="2"/>
        <v>25 to 34</v>
      </c>
      <c r="Q27" s="14" t="str">
        <f t="shared" si="3"/>
        <v>5 to 10 yrs</v>
      </c>
      <c r="R27" s="30">
        <f>K27/INDEX(Assumptions!$B$9:$B$13,MATCH(E27,Assumptions!$A$9:$A$13,0))</f>
        <v>0.96285714285714286</v>
      </c>
    </row>
    <row r="28" spans="1:18" x14ac:dyDescent="0.35">
      <c r="A28" s="26" t="s">
        <v>142</v>
      </c>
      <c r="B28" s="26" t="s">
        <v>143</v>
      </c>
      <c r="C28" s="26" t="s">
        <v>21</v>
      </c>
      <c r="D28" s="26" t="s">
        <v>30</v>
      </c>
      <c r="E28" s="26" t="s">
        <v>58</v>
      </c>
      <c r="F28" s="26" t="s">
        <v>66</v>
      </c>
      <c r="G28" s="27">
        <v>43320</v>
      </c>
      <c r="H28" s="27"/>
      <c r="I28" s="26"/>
      <c r="J28" s="26">
        <v>27</v>
      </c>
      <c r="K28" s="28">
        <v>298000</v>
      </c>
      <c r="L28" s="26">
        <v>3</v>
      </c>
      <c r="M28" s="14" t="str">
        <f t="shared" si="0"/>
        <v>Active</v>
      </c>
      <c r="N28" s="14" t="str">
        <f t="shared" si="1"/>
        <v/>
      </c>
      <c r="O28" s="29">
        <f>(IF(H28="",Assumptions!$B$3,H28)-G28)/365.25</f>
        <v>8.1451060917180005</v>
      </c>
      <c r="P28" s="14" t="str">
        <f t="shared" si="2"/>
        <v>25 to 34</v>
      </c>
      <c r="Q28" s="14" t="str">
        <f t="shared" si="3"/>
        <v>5 to 10 yrs</v>
      </c>
      <c r="R28" s="30">
        <f>K28/INDEX(Assumptions!$B$9:$B$13,MATCH(E28,Assumptions!$A$9:$A$13,0))</f>
        <v>0.85142857142857142</v>
      </c>
    </row>
    <row r="29" spans="1:18" x14ac:dyDescent="0.35">
      <c r="A29" s="26" t="s">
        <v>144</v>
      </c>
      <c r="B29" s="26" t="s">
        <v>131</v>
      </c>
      <c r="C29" s="26" t="s">
        <v>20</v>
      </c>
      <c r="D29" s="26" t="s">
        <v>32</v>
      </c>
      <c r="E29" s="26" t="s">
        <v>59</v>
      </c>
      <c r="F29" s="26" t="s">
        <v>66</v>
      </c>
      <c r="G29" s="27">
        <v>43328</v>
      </c>
      <c r="H29" s="27"/>
      <c r="I29" s="26"/>
      <c r="J29" s="26">
        <v>29</v>
      </c>
      <c r="K29" s="28">
        <v>532000</v>
      </c>
      <c r="L29" s="26">
        <v>4</v>
      </c>
      <c r="M29" s="14" t="str">
        <f t="shared" si="0"/>
        <v>Active</v>
      </c>
      <c r="N29" s="14" t="str">
        <f t="shared" si="1"/>
        <v/>
      </c>
      <c r="O29" s="29">
        <f>(IF(H29="",Assumptions!$B$3,H29)-G29)/365.25</f>
        <v>8.1232032854209439</v>
      </c>
      <c r="P29" s="14" t="str">
        <f t="shared" si="2"/>
        <v>25 to 34</v>
      </c>
      <c r="Q29" s="14" t="str">
        <f t="shared" si="3"/>
        <v>5 to 10 yrs</v>
      </c>
      <c r="R29" s="30">
        <f>K29/INDEX(Assumptions!$B$9:$B$13,MATCH(E29,Assumptions!$A$9:$A$13,0))</f>
        <v>0.96727272727272728</v>
      </c>
    </row>
    <row r="30" spans="1:18" x14ac:dyDescent="0.35">
      <c r="A30" s="26" t="s">
        <v>145</v>
      </c>
      <c r="B30" s="26" t="s">
        <v>146</v>
      </c>
      <c r="C30" s="26" t="s">
        <v>20</v>
      </c>
      <c r="D30" s="26" t="s">
        <v>31</v>
      </c>
      <c r="E30" s="26" t="s">
        <v>60</v>
      </c>
      <c r="F30" s="26" t="s">
        <v>67</v>
      </c>
      <c r="G30" s="27">
        <v>43358</v>
      </c>
      <c r="H30" s="27">
        <v>46139</v>
      </c>
      <c r="I30" s="26" t="s">
        <v>147</v>
      </c>
      <c r="J30" s="26">
        <v>36</v>
      </c>
      <c r="K30" s="28">
        <v>1077000</v>
      </c>
      <c r="L30" s="26">
        <v>3</v>
      </c>
      <c r="M30" s="14" t="str">
        <f t="shared" si="0"/>
        <v>Exited</v>
      </c>
      <c r="N30" s="14" t="str">
        <f t="shared" si="1"/>
        <v>Voluntary</v>
      </c>
      <c r="O30" s="29">
        <f>(IF(H30="",Assumptions!$B$3,H30)-G30)/365.25</f>
        <v>7.613963039014374</v>
      </c>
      <c r="P30" s="14" t="str">
        <f t="shared" si="2"/>
        <v>35 to 44</v>
      </c>
      <c r="Q30" s="14" t="str">
        <f t="shared" si="3"/>
        <v>5 to 10 yrs</v>
      </c>
      <c r="R30" s="30">
        <f>K30/INDEX(Assumptions!$B$9:$B$13,MATCH(E30,Assumptions!$A$9:$A$13,0))</f>
        <v>1.1336842105263158</v>
      </c>
    </row>
    <row r="31" spans="1:18" x14ac:dyDescent="0.35">
      <c r="A31" s="26" t="s">
        <v>148</v>
      </c>
      <c r="B31" s="26" t="s">
        <v>149</v>
      </c>
      <c r="C31" s="26" t="s">
        <v>20</v>
      </c>
      <c r="D31" s="26" t="s">
        <v>29</v>
      </c>
      <c r="E31" s="26" t="s">
        <v>58</v>
      </c>
      <c r="F31" s="26" t="s">
        <v>65</v>
      </c>
      <c r="G31" s="27">
        <v>43373</v>
      </c>
      <c r="H31" s="27"/>
      <c r="I31" s="26"/>
      <c r="J31" s="26">
        <v>25</v>
      </c>
      <c r="K31" s="28">
        <v>331000</v>
      </c>
      <c r="L31" s="26">
        <v>3</v>
      </c>
      <c r="M31" s="14" t="str">
        <f t="shared" si="0"/>
        <v>Active</v>
      </c>
      <c r="N31" s="14" t="str">
        <f t="shared" si="1"/>
        <v/>
      </c>
      <c r="O31" s="29">
        <f>(IF(H31="",Assumptions!$B$3,H31)-G31)/365.25</f>
        <v>8</v>
      </c>
      <c r="P31" s="14" t="str">
        <f t="shared" si="2"/>
        <v>25 to 34</v>
      </c>
      <c r="Q31" s="14" t="str">
        <f t="shared" si="3"/>
        <v>5 to 10 yrs</v>
      </c>
      <c r="R31" s="30">
        <f>K31/INDEX(Assumptions!$B$9:$B$13,MATCH(E31,Assumptions!$A$9:$A$13,0))</f>
        <v>0.94571428571428573</v>
      </c>
    </row>
    <row r="32" spans="1:18" x14ac:dyDescent="0.35">
      <c r="A32" s="26" t="s">
        <v>150</v>
      </c>
      <c r="B32" s="26" t="s">
        <v>151</v>
      </c>
      <c r="C32" s="26" t="s">
        <v>21</v>
      </c>
      <c r="D32" s="26" t="s">
        <v>32</v>
      </c>
      <c r="E32" s="26" t="s">
        <v>58</v>
      </c>
      <c r="F32" s="26" t="s">
        <v>65</v>
      </c>
      <c r="G32" s="27">
        <v>43390</v>
      </c>
      <c r="H32" s="27"/>
      <c r="I32" s="26"/>
      <c r="J32" s="26">
        <v>27</v>
      </c>
      <c r="K32" s="28">
        <v>366000</v>
      </c>
      <c r="L32" s="26">
        <v>4</v>
      </c>
      <c r="M32" s="14" t="str">
        <f t="shared" si="0"/>
        <v>Active</v>
      </c>
      <c r="N32" s="14" t="str">
        <f t="shared" si="1"/>
        <v/>
      </c>
      <c r="O32" s="29">
        <f>(IF(H32="",Assumptions!$B$3,H32)-G32)/365.25</f>
        <v>7.953456536618754</v>
      </c>
      <c r="P32" s="14" t="str">
        <f t="shared" si="2"/>
        <v>25 to 34</v>
      </c>
      <c r="Q32" s="14" t="str">
        <f t="shared" si="3"/>
        <v>5 to 10 yrs</v>
      </c>
      <c r="R32" s="30">
        <f>K32/INDEX(Assumptions!$B$9:$B$13,MATCH(E32,Assumptions!$A$9:$A$13,0))</f>
        <v>1.0457142857142858</v>
      </c>
    </row>
    <row r="33" spans="1:18" x14ac:dyDescent="0.35">
      <c r="A33" s="26" t="s">
        <v>152</v>
      </c>
      <c r="B33" s="26" t="s">
        <v>153</v>
      </c>
      <c r="C33" s="26" t="s">
        <v>20</v>
      </c>
      <c r="D33" s="26" t="s">
        <v>33</v>
      </c>
      <c r="E33" s="26" t="s">
        <v>59</v>
      </c>
      <c r="F33" s="26" t="s">
        <v>67</v>
      </c>
      <c r="G33" s="27">
        <v>43429</v>
      </c>
      <c r="H33" s="27"/>
      <c r="I33" s="26"/>
      <c r="J33" s="26">
        <v>29</v>
      </c>
      <c r="K33" s="28">
        <v>504000</v>
      </c>
      <c r="L33" s="26">
        <v>3</v>
      </c>
      <c r="M33" s="14" t="str">
        <f t="shared" si="0"/>
        <v>Active</v>
      </c>
      <c r="N33" s="14" t="str">
        <f t="shared" si="1"/>
        <v/>
      </c>
      <c r="O33" s="29">
        <f>(IF(H33="",Assumptions!$B$3,H33)-G33)/365.25</f>
        <v>7.8466803559206024</v>
      </c>
      <c r="P33" s="14" t="str">
        <f t="shared" si="2"/>
        <v>25 to 34</v>
      </c>
      <c r="Q33" s="14" t="str">
        <f t="shared" si="3"/>
        <v>5 to 10 yrs</v>
      </c>
      <c r="R33" s="30">
        <f>K33/INDEX(Assumptions!$B$9:$B$13,MATCH(E33,Assumptions!$A$9:$A$13,0))</f>
        <v>0.91636363636363638</v>
      </c>
    </row>
    <row r="34" spans="1:18" x14ac:dyDescent="0.35">
      <c r="A34" s="26" t="s">
        <v>154</v>
      </c>
      <c r="B34" s="26" t="s">
        <v>155</v>
      </c>
      <c r="C34" s="26" t="s">
        <v>20</v>
      </c>
      <c r="D34" s="26" t="s">
        <v>32</v>
      </c>
      <c r="E34" s="26" t="s">
        <v>58</v>
      </c>
      <c r="F34" s="26" t="s">
        <v>66</v>
      </c>
      <c r="G34" s="27">
        <v>43446</v>
      </c>
      <c r="H34" s="27"/>
      <c r="I34" s="26"/>
      <c r="J34" s="26">
        <v>26</v>
      </c>
      <c r="K34" s="28">
        <v>355000</v>
      </c>
      <c r="L34" s="26">
        <v>3</v>
      </c>
      <c r="M34" s="14" t="str">
        <f t="shared" si="0"/>
        <v>Active</v>
      </c>
      <c r="N34" s="14" t="str">
        <f t="shared" si="1"/>
        <v/>
      </c>
      <c r="O34" s="29">
        <f>(IF(H34="",Assumptions!$B$3,H34)-G34)/365.25</f>
        <v>7.8001368925393564</v>
      </c>
      <c r="P34" s="14" t="str">
        <f t="shared" si="2"/>
        <v>25 to 34</v>
      </c>
      <c r="Q34" s="14" t="str">
        <f t="shared" si="3"/>
        <v>5 to 10 yrs</v>
      </c>
      <c r="R34" s="30">
        <f>K34/INDEX(Assumptions!$B$9:$B$13,MATCH(E34,Assumptions!$A$9:$A$13,0))</f>
        <v>1.0142857142857142</v>
      </c>
    </row>
    <row r="35" spans="1:18" x14ac:dyDescent="0.35">
      <c r="A35" s="26" t="s">
        <v>156</v>
      </c>
      <c r="B35" s="26" t="s">
        <v>157</v>
      </c>
      <c r="C35" s="26" t="s">
        <v>20</v>
      </c>
      <c r="D35" s="26" t="s">
        <v>33</v>
      </c>
      <c r="E35" s="26" t="s">
        <v>60</v>
      </c>
      <c r="F35" s="26" t="s">
        <v>68</v>
      </c>
      <c r="G35" s="27">
        <v>43461</v>
      </c>
      <c r="H35" s="27"/>
      <c r="I35" s="26"/>
      <c r="J35" s="26">
        <v>35</v>
      </c>
      <c r="K35" s="28">
        <v>855000</v>
      </c>
      <c r="L35" s="26">
        <v>1</v>
      </c>
      <c r="M35" s="14" t="str">
        <f t="shared" si="0"/>
        <v>Active</v>
      </c>
      <c r="N35" s="14" t="str">
        <f t="shared" si="1"/>
        <v/>
      </c>
      <c r="O35" s="29">
        <f>(IF(H35="",Assumptions!$B$3,H35)-G35)/365.25</f>
        <v>7.7590691307323754</v>
      </c>
      <c r="P35" s="14" t="str">
        <f t="shared" si="2"/>
        <v>35 to 44</v>
      </c>
      <c r="Q35" s="14" t="str">
        <f t="shared" si="3"/>
        <v>5 to 10 yrs</v>
      </c>
      <c r="R35" s="30">
        <f>K35/INDEX(Assumptions!$B$9:$B$13,MATCH(E35,Assumptions!$A$9:$A$13,0))</f>
        <v>0.9</v>
      </c>
    </row>
    <row r="36" spans="1:18" x14ac:dyDescent="0.35">
      <c r="A36" s="26" t="s">
        <v>158</v>
      </c>
      <c r="B36" s="26" t="s">
        <v>159</v>
      </c>
      <c r="C36" s="26" t="s">
        <v>20</v>
      </c>
      <c r="D36" s="26" t="s">
        <v>30</v>
      </c>
      <c r="E36" s="26" t="s">
        <v>58</v>
      </c>
      <c r="F36" s="26" t="s">
        <v>66</v>
      </c>
      <c r="G36" s="27">
        <v>43494</v>
      </c>
      <c r="H36" s="27"/>
      <c r="I36" s="26"/>
      <c r="J36" s="26">
        <v>26</v>
      </c>
      <c r="K36" s="28">
        <v>325000</v>
      </c>
      <c r="L36" s="26">
        <v>5</v>
      </c>
      <c r="M36" s="14" t="str">
        <f t="shared" si="0"/>
        <v>Active</v>
      </c>
      <c r="N36" s="14" t="str">
        <f t="shared" si="1"/>
        <v/>
      </c>
      <c r="O36" s="29">
        <f>(IF(H36="",Assumptions!$B$3,H36)-G36)/365.25</f>
        <v>7.6687200547570153</v>
      </c>
      <c r="P36" s="14" t="str">
        <f t="shared" si="2"/>
        <v>25 to 34</v>
      </c>
      <c r="Q36" s="14" t="str">
        <f t="shared" si="3"/>
        <v>5 to 10 yrs</v>
      </c>
      <c r="R36" s="30">
        <f>K36/INDEX(Assumptions!$B$9:$B$13,MATCH(E36,Assumptions!$A$9:$A$13,0))</f>
        <v>0.9285714285714286</v>
      </c>
    </row>
    <row r="37" spans="1:18" x14ac:dyDescent="0.35">
      <c r="A37" s="26" t="s">
        <v>160</v>
      </c>
      <c r="B37" s="26" t="s">
        <v>161</v>
      </c>
      <c r="C37" s="26" t="s">
        <v>20</v>
      </c>
      <c r="D37" s="26" t="s">
        <v>32</v>
      </c>
      <c r="E37" s="26" t="s">
        <v>58</v>
      </c>
      <c r="F37" s="26" t="s">
        <v>68</v>
      </c>
      <c r="G37" s="27">
        <v>43504</v>
      </c>
      <c r="H37" s="27"/>
      <c r="I37" s="26"/>
      <c r="J37" s="26">
        <v>27</v>
      </c>
      <c r="K37" s="28">
        <v>366000</v>
      </c>
      <c r="L37" s="26">
        <v>3</v>
      </c>
      <c r="M37" s="14" t="str">
        <f t="shared" si="0"/>
        <v>Active</v>
      </c>
      <c r="N37" s="14" t="str">
        <f t="shared" si="1"/>
        <v/>
      </c>
      <c r="O37" s="29">
        <f>(IF(H37="",Assumptions!$B$3,H37)-G37)/365.25</f>
        <v>7.6413415468856947</v>
      </c>
      <c r="P37" s="14" t="str">
        <f t="shared" si="2"/>
        <v>25 to 34</v>
      </c>
      <c r="Q37" s="14" t="str">
        <f t="shared" si="3"/>
        <v>5 to 10 yrs</v>
      </c>
      <c r="R37" s="30">
        <f>K37/INDEX(Assumptions!$B$9:$B$13,MATCH(E37,Assumptions!$A$9:$A$13,0))</f>
        <v>1.0457142857142858</v>
      </c>
    </row>
    <row r="38" spans="1:18" x14ac:dyDescent="0.35">
      <c r="A38" s="26" t="s">
        <v>162</v>
      </c>
      <c r="B38" s="26" t="s">
        <v>163</v>
      </c>
      <c r="C38" s="26" t="s">
        <v>21</v>
      </c>
      <c r="D38" s="26" t="s">
        <v>35</v>
      </c>
      <c r="E38" s="26" t="s">
        <v>58</v>
      </c>
      <c r="F38" s="26" t="s">
        <v>69</v>
      </c>
      <c r="G38" s="27">
        <v>43520</v>
      </c>
      <c r="H38" s="27"/>
      <c r="I38" s="26"/>
      <c r="J38" s="26">
        <v>27</v>
      </c>
      <c r="K38" s="28">
        <v>332000</v>
      </c>
      <c r="L38" s="26">
        <v>3</v>
      </c>
      <c r="M38" s="14" t="str">
        <f t="shared" si="0"/>
        <v>Active</v>
      </c>
      <c r="N38" s="14" t="str">
        <f t="shared" si="1"/>
        <v/>
      </c>
      <c r="O38" s="29">
        <f>(IF(H38="",Assumptions!$B$3,H38)-G38)/365.25</f>
        <v>7.5975359342915807</v>
      </c>
      <c r="P38" s="14" t="str">
        <f t="shared" si="2"/>
        <v>25 to 34</v>
      </c>
      <c r="Q38" s="14" t="str">
        <f t="shared" si="3"/>
        <v>5 to 10 yrs</v>
      </c>
      <c r="R38" s="30">
        <f>K38/INDEX(Assumptions!$B$9:$B$13,MATCH(E38,Assumptions!$A$9:$A$13,0))</f>
        <v>0.94857142857142862</v>
      </c>
    </row>
    <row r="39" spans="1:18" x14ac:dyDescent="0.35">
      <c r="A39" s="26" t="s">
        <v>164</v>
      </c>
      <c r="B39" s="26" t="s">
        <v>165</v>
      </c>
      <c r="C39" s="26" t="s">
        <v>20</v>
      </c>
      <c r="D39" s="26" t="s">
        <v>30</v>
      </c>
      <c r="E39" s="26" t="s">
        <v>60</v>
      </c>
      <c r="F39" s="26" t="s">
        <v>65</v>
      </c>
      <c r="G39" s="27">
        <v>43565</v>
      </c>
      <c r="H39" s="27"/>
      <c r="I39" s="26"/>
      <c r="J39" s="26">
        <v>34</v>
      </c>
      <c r="K39" s="28">
        <v>834000</v>
      </c>
      <c r="L39" s="26">
        <v>3</v>
      </c>
      <c r="M39" s="14" t="str">
        <f t="shared" si="0"/>
        <v>Active</v>
      </c>
      <c r="N39" s="14" t="str">
        <f t="shared" si="1"/>
        <v/>
      </c>
      <c r="O39" s="29">
        <f>(IF(H39="",Assumptions!$B$3,H39)-G39)/365.25</f>
        <v>7.4743326488706368</v>
      </c>
      <c r="P39" s="14" t="str">
        <f t="shared" si="2"/>
        <v>25 to 34</v>
      </c>
      <c r="Q39" s="14" t="str">
        <f t="shared" si="3"/>
        <v>5 to 10 yrs</v>
      </c>
      <c r="R39" s="30">
        <f>K39/INDEX(Assumptions!$B$9:$B$13,MATCH(E39,Assumptions!$A$9:$A$13,0))</f>
        <v>0.87789473684210528</v>
      </c>
    </row>
    <row r="40" spans="1:18" x14ac:dyDescent="0.35">
      <c r="A40" s="26" t="s">
        <v>166</v>
      </c>
      <c r="B40" s="26" t="s">
        <v>167</v>
      </c>
      <c r="C40" s="26" t="s">
        <v>20</v>
      </c>
      <c r="D40" s="26" t="s">
        <v>34</v>
      </c>
      <c r="E40" s="26" t="s">
        <v>61</v>
      </c>
      <c r="F40" s="26" t="s">
        <v>65</v>
      </c>
      <c r="G40" s="27">
        <v>43576</v>
      </c>
      <c r="H40" s="27"/>
      <c r="I40" s="26"/>
      <c r="J40" s="26">
        <v>40</v>
      </c>
      <c r="K40" s="28">
        <v>1430000</v>
      </c>
      <c r="L40" s="26">
        <v>4</v>
      </c>
      <c r="M40" s="14" t="str">
        <f t="shared" si="0"/>
        <v>Active</v>
      </c>
      <c r="N40" s="14" t="str">
        <f t="shared" si="1"/>
        <v/>
      </c>
      <c r="O40" s="29">
        <f>(IF(H40="",Assumptions!$B$3,H40)-G40)/365.25</f>
        <v>7.4442162902121831</v>
      </c>
      <c r="P40" s="14" t="str">
        <f t="shared" si="2"/>
        <v>35 to 44</v>
      </c>
      <c r="Q40" s="14" t="str">
        <f t="shared" si="3"/>
        <v>5 to 10 yrs</v>
      </c>
      <c r="R40" s="30">
        <f>K40/INDEX(Assumptions!$B$9:$B$13,MATCH(E40,Assumptions!$A$9:$A$13,0))</f>
        <v>0.8666666666666667</v>
      </c>
    </row>
    <row r="41" spans="1:18" x14ac:dyDescent="0.35">
      <c r="A41" s="26" t="s">
        <v>168</v>
      </c>
      <c r="B41" s="26" t="s">
        <v>169</v>
      </c>
      <c r="C41" s="26" t="s">
        <v>20</v>
      </c>
      <c r="D41" s="26" t="s">
        <v>35</v>
      </c>
      <c r="E41" s="26" t="s">
        <v>62</v>
      </c>
      <c r="F41" s="26" t="s">
        <v>65</v>
      </c>
      <c r="G41" s="27">
        <v>43578</v>
      </c>
      <c r="H41" s="27"/>
      <c r="I41" s="26"/>
      <c r="J41" s="26">
        <v>43</v>
      </c>
      <c r="K41" s="28">
        <v>2899000</v>
      </c>
      <c r="L41" s="26">
        <v>4</v>
      </c>
      <c r="M41" s="14" t="str">
        <f t="shared" si="0"/>
        <v>Active</v>
      </c>
      <c r="N41" s="14" t="str">
        <f t="shared" si="1"/>
        <v/>
      </c>
      <c r="O41" s="29">
        <f>(IF(H41="",Assumptions!$B$3,H41)-G41)/365.25</f>
        <v>7.438740588637919</v>
      </c>
      <c r="P41" s="14" t="str">
        <f t="shared" si="2"/>
        <v>35 to 44</v>
      </c>
      <c r="Q41" s="14" t="str">
        <f t="shared" si="3"/>
        <v>5 to 10 yrs</v>
      </c>
      <c r="R41" s="30">
        <f>K41/INDEX(Assumptions!$B$9:$B$13,MATCH(E41,Assumptions!$A$9:$A$13,0))</f>
        <v>0.96633333333333338</v>
      </c>
    </row>
    <row r="42" spans="1:18" x14ac:dyDescent="0.35">
      <c r="A42" s="26" t="s">
        <v>170</v>
      </c>
      <c r="B42" s="26" t="s">
        <v>171</v>
      </c>
      <c r="C42" s="26" t="s">
        <v>21</v>
      </c>
      <c r="D42" s="26" t="s">
        <v>31</v>
      </c>
      <c r="E42" s="26" t="s">
        <v>59</v>
      </c>
      <c r="F42" s="26" t="s">
        <v>65</v>
      </c>
      <c r="G42" s="27">
        <v>43582</v>
      </c>
      <c r="H42" s="27"/>
      <c r="I42" s="26"/>
      <c r="J42" s="26">
        <v>30</v>
      </c>
      <c r="K42" s="28">
        <v>681000</v>
      </c>
      <c r="L42" s="26">
        <v>2</v>
      </c>
      <c r="M42" s="14" t="str">
        <f t="shared" si="0"/>
        <v>Active</v>
      </c>
      <c r="N42" s="14" t="str">
        <f t="shared" si="1"/>
        <v/>
      </c>
      <c r="O42" s="29">
        <f>(IF(H42="",Assumptions!$B$3,H42)-G42)/365.25</f>
        <v>7.4277891854893907</v>
      </c>
      <c r="P42" s="14" t="str">
        <f t="shared" si="2"/>
        <v>25 to 34</v>
      </c>
      <c r="Q42" s="14" t="str">
        <f t="shared" si="3"/>
        <v>5 to 10 yrs</v>
      </c>
      <c r="R42" s="30">
        <f>K42/INDEX(Assumptions!$B$9:$B$13,MATCH(E42,Assumptions!$A$9:$A$13,0))</f>
        <v>1.2381818181818183</v>
      </c>
    </row>
    <row r="43" spans="1:18" x14ac:dyDescent="0.35">
      <c r="A43" s="26" t="s">
        <v>172</v>
      </c>
      <c r="B43" s="26" t="s">
        <v>173</v>
      </c>
      <c r="C43" s="26" t="s">
        <v>21</v>
      </c>
      <c r="D43" s="26" t="s">
        <v>33</v>
      </c>
      <c r="E43" s="26" t="s">
        <v>60</v>
      </c>
      <c r="F43" s="26" t="s">
        <v>69</v>
      </c>
      <c r="G43" s="27">
        <v>43603</v>
      </c>
      <c r="H43" s="27"/>
      <c r="I43" s="26"/>
      <c r="J43" s="26">
        <v>31</v>
      </c>
      <c r="K43" s="28">
        <v>1059000</v>
      </c>
      <c r="L43" s="26">
        <v>3</v>
      </c>
      <c r="M43" s="14" t="str">
        <f t="shared" si="0"/>
        <v>Active</v>
      </c>
      <c r="N43" s="14" t="str">
        <f t="shared" si="1"/>
        <v/>
      </c>
      <c r="O43" s="29">
        <f>(IF(H43="",Assumptions!$B$3,H43)-G43)/365.25</f>
        <v>7.3702943189596164</v>
      </c>
      <c r="P43" s="14" t="str">
        <f t="shared" si="2"/>
        <v>25 to 34</v>
      </c>
      <c r="Q43" s="14" t="str">
        <f t="shared" si="3"/>
        <v>5 to 10 yrs</v>
      </c>
      <c r="R43" s="30">
        <f>K43/INDEX(Assumptions!$B$9:$B$13,MATCH(E43,Assumptions!$A$9:$A$13,0))</f>
        <v>1.1147368421052632</v>
      </c>
    </row>
    <row r="44" spans="1:18" x14ac:dyDescent="0.35">
      <c r="A44" s="26" t="s">
        <v>174</v>
      </c>
      <c r="B44" s="26" t="s">
        <v>175</v>
      </c>
      <c r="C44" s="26" t="s">
        <v>20</v>
      </c>
      <c r="D44" s="26" t="s">
        <v>30</v>
      </c>
      <c r="E44" s="26" t="s">
        <v>60</v>
      </c>
      <c r="F44" s="26" t="s">
        <v>65</v>
      </c>
      <c r="G44" s="27">
        <v>43615</v>
      </c>
      <c r="H44" s="27">
        <v>46185</v>
      </c>
      <c r="I44" s="26" t="s">
        <v>176</v>
      </c>
      <c r="J44" s="26">
        <v>37</v>
      </c>
      <c r="K44" s="28">
        <v>872000</v>
      </c>
      <c r="L44" s="26">
        <v>4</v>
      </c>
      <c r="M44" s="14" t="str">
        <f t="shared" si="0"/>
        <v>Exited</v>
      </c>
      <c r="N44" s="14" t="str">
        <f t="shared" si="1"/>
        <v>Voluntary</v>
      </c>
      <c r="O44" s="29">
        <f>(IF(H44="",Assumptions!$B$3,H44)-G44)/365.25</f>
        <v>7.0362765229295006</v>
      </c>
      <c r="P44" s="14" t="str">
        <f t="shared" si="2"/>
        <v>35 to 44</v>
      </c>
      <c r="Q44" s="14" t="str">
        <f t="shared" si="3"/>
        <v>5 to 10 yrs</v>
      </c>
      <c r="R44" s="30">
        <f>K44/INDEX(Assumptions!$B$9:$B$13,MATCH(E44,Assumptions!$A$9:$A$13,0))</f>
        <v>0.91789473684210521</v>
      </c>
    </row>
    <row r="45" spans="1:18" x14ac:dyDescent="0.35">
      <c r="A45" s="26" t="s">
        <v>177</v>
      </c>
      <c r="B45" s="26" t="s">
        <v>178</v>
      </c>
      <c r="C45" s="26" t="s">
        <v>21</v>
      </c>
      <c r="D45" s="26" t="s">
        <v>35</v>
      </c>
      <c r="E45" s="26" t="s">
        <v>60</v>
      </c>
      <c r="F45" s="26" t="s">
        <v>66</v>
      </c>
      <c r="G45" s="27">
        <v>43615</v>
      </c>
      <c r="H45" s="27"/>
      <c r="I45" s="26"/>
      <c r="J45" s="26">
        <v>35</v>
      </c>
      <c r="K45" s="28">
        <v>876000</v>
      </c>
      <c r="L45" s="26">
        <v>3</v>
      </c>
      <c r="M45" s="14" t="str">
        <f t="shared" si="0"/>
        <v>Active</v>
      </c>
      <c r="N45" s="14" t="str">
        <f t="shared" si="1"/>
        <v/>
      </c>
      <c r="O45" s="29">
        <f>(IF(H45="",Assumptions!$B$3,H45)-G45)/365.25</f>
        <v>7.3374401095140316</v>
      </c>
      <c r="P45" s="14" t="str">
        <f t="shared" si="2"/>
        <v>35 to 44</v>
      </c>
      <c r="Q45" s="14" t="str">
        <f t="shared" si="3"/>
        <v>5 to 10 yrs</v>
      </c>
      <c r="R45" s="30">
        <f>K45/INDEX(Assumptions!$B$9:$B$13,MATCH(E45,Assumptions!$A$9:$A$13,0))</f>
        <v>0.92210526315789476</v>
      </c>
    </row>
    <row r="46" spans="1:18" x14ac:dyDescent="0.35">
      <c r="A46" s="26" t="s">
        <v>179</v>
      </c>
      <c r="B46" s="26" t="s">
        <v>107</v>
      </c>
      <c r="C46" s="26" t="s">
        <v>20</v>
      </c>
      <c r="D46" s="26" t="s">
        <v>30</v>
      </c>
      <c r="E46" s="26" t="s">
        <v>58</v>
      </c>
      <c r="F46" s="26" t="s">
        <v>66</v>
      </c>
      <c r="G46" s="27">
        <v>43634</v>
      </c>
      <c r="H46" s="27">
        <v>46095</v>
      </c>
      <c r="I46" s="26" t="s">
        <v>176</v>
      </c>
      <c r="J46" s="26">
        <v>26</v>
      </c>
      <c r="K46" s="28">
        <v>253000</v>
      </c>
      <c r="L46" s="26">
        <v>3</v>
      </c>
      <c r="M46" s="14" t="str">
        <f t="shared" si="0"/>
        <v>Exited</v>
      </c>
      <c r="N46" s="14" t="str">
        <f t="shared" si="1"/>
        <v>Voluntary</v>
      </c>
      <c r="O46" s="29">
        <f>(IF(H46="",Assumptions!$B$3,H46)-G46)/365.25</f>
        <v>6.7378507871321016</v>
      </c>
      <c r="P46" s="14" t="str">
        <f t="shared" si="2"/>
        <v>25 to 34</v>
      </c>
      <c r="Q46" s="14" t="str">
        <f t="shared" si="3"/>
        <v>5 to 10 yrs</v>
      </c>
      <c r="R46" s="30">
        <f>K46/INDEX(Assumptions!$B$9:$B$13,MATCH(E46,Assumptions!$A$9:$A$13,0))</f>
        <v>0.72285714285714286</v>
      </c>
    </row>
    <row r="47" spans="1:18" x14ac:dyDescent="0.35">
      <c r="A47" s="26" t="s">
        <v>180</v>
      </c>
      <c r="B47" s="26" t="s">
        <v>181</v>
      </c>
      <c r="C47" s="26" t="s">
        <v>21</v>
      </c>
      <c r="D47" s="26" t="s">
        <v>29</v>
      </c>
      <c r="E47" s="26" t="s">
        <v>61</v>
      </c>
      <c r="F47" s="26" t="s">
        <v>65</v>
      </c>
      <c r="G47" s="27">
        <v>43649</v>
      </c>
      <c r="H47" s="27"/>
      <c r="I47" s="26"/>
      <c r="J47" s="26">
        <v>39</v>
      </c>
      <c r="K47" s="28">
        <v>1560000</v>
      </c>
      <c r="L47" s="26">
        <v>4</v>
      </c>
      <c r="M47" s="14" t="str">
        <f t="shared" si="0"/>
        <v>Active</v>
      </c>
      <c r="N47" s="14" t="str">
        <f t="shared" si="1"/>
        <v/>
      </c>
      <c r="O47" s="29">
        <f>(IF(H47="",Assumptions!$B$3,H47)-G47)/365.25</f>
        <v>7.2443531827515404</v>
      </c>
      <c r="P47" s="14" t="str">
        <f t="shared" si="2"/>
        <v>35 to 44</v>
      </c>
      <c r="Q47" s="14" t="str">
        <f t="shared" si="3"/>
        <v>5 to 10 yrs</v>
      </c>
      <c r="R47" s="30">
        <f>K47/INDEX(Assumptions!$B$9:$B$13,MATCH(E47,Assumptions!$A$9:$A$13,0))</f>
        <v>0.94545454545454544</v>
      </c>
    </row>
    <row r="48" spans="1:18" x14ac:dyDescent="0.35">
      <c r="A48" s="26" t="s">
        <v>182</v>
      </c>
      <c r="B48" s="26" t="s">
        <v>183</v>
      </c>
      <c r="C48" s="26" t="s">
        <v>20</v>
      </c>
      <c r="D48" s="26" t="s">
        <v>32</v>
      </c>
      <c r="E48" s="26" t="s">
        <v>58</v>
      </c>
      <c r="F48" s="26" t="s">
        <v>66</v>
      </c>
      <c r="G48" s="27">
        <v>43660</v>
      </c>
      <c r="H48" s="27"/>
      <c r="I48" s="26"/>
      <c r="J48" s="26">
        <v>25</v>
      </c>
      <c r="K48" s="28">
        <v>313000</v>
      </c>
      <c r="L48" s="26">
        <v>3</v>
      </c>
      <c r="M48" s="14" t="str">
        <f t="shared" si="0"/>
        <v>Active</v>
      </c>
      <c r="N48" s="14" t="str">
        <f t="shared" si="1"/>
        <v/>
      </c>
      <c r="O48" s="29">
        <f>(IF(H48="",Assumptions!$B$3,H48)-G48)/365.25</f>
        <v>7.2142368240930868</v>
      </c>
      <c r="P48" s="14" t="str">
        <f t="shared" si="2"/>
        <v>25 to 34</v>
      </c>
      <c r="Q48" s="14" t="str">
        <f t="shared" si="3"/>
        <v>5 to 10 yrs</v>
      </c>
      <c r="R48" s="30">
        <f>K48/INDEX(Assumptions!$B$9:$B$13,MATCH(E48,Assumptions!$A$9:$A$13,0))</f>
        <v>0.89428571428571424</v>
      </c>
    </row>
    <row r="49" spans="1:18" x14ac:dyDescent="0.35">
      <c r="A49" s="26" t="s">
        <v>184</v>
      </c>
      <c r="B49" s="26" t="s">
        <v>185</v>
      </c>
      <c r="C49" s="26" t="s">
        <v>20</v>
      </c>
      <c r="D49" s="26" t="s">
        <v>34</v>
      </c>
      <c r="E49" s="26" t="s">
        <v>59</v>
      </c>
      <c r="F49" s="26" t="s">
        <v>68</v>
      </c>
      <c r="G49" s="27">
        <v>43712</v>
      </c>
      <c r="H49" s="27"/>
      <c r="I49" s="26"/>
      <c r="J49" s="26">
        <v>30</v>
      </c>
      <c r="K49" s="28">
        <v>517000</v>
      </c>
      <c r="L49" s="26">
        <v>3</v>
      </c>
      <c r="M49" s="14" t="str">
        <f t="shared" si="0"/>
        <v>Active</v>
      </c>
      <c r="N49" s="14" t="str">
        <f t="shared" si="1"/>
        <v/>
      </c>
      <c r="O49" s="29">
        <f>(IF(H49="",Assumptions!$B$3,H49)-G49)/365.25</f>
        <v>7.0718685831622174</v>
      </c>
      <c r="P49" s="14" t="str">
        <f t="shared" si="2"/>
        <v>25 to 34</v>
      </c>
      <c r="Q49" s="14" t="str">
        <f t="shared" si="3"/>
        <v>5 to 10 yrs</v>
      </c>
      <c r="R49" s="30">
        <f>K49/INDEX(Assumptions!$B$9:$B$13,MATCH(E49,Assumptions!$A$9:$A$13,0))</f>
        <v>0.94</v>
      </c>
    </row>
    <row r="50" spans="1:18" x14ac:dyDescent="0.35">
      <c r="A50" s="26" t="s">
        <v>186</v>
      </c>
      <c r="B50" s="26" t="s">
        <v>187</v>
      </c>
      <c r="C50" s="26" t="s">
        <v>21</v>
      </c>
      <c r="D50" s="26" t="s">
        <v>31</v>
      </c>
      <c r="E50" s="26" t="s">
        <v>59</v>
      </c>
      <c r="F50" s="26" t="s">
        <v>65</v>
      </c>
      <c r="G50" s="27">
        <v>43718</v>
      </c>
      <c r="H50" s="27"/>
      <c r="I50" s="26"/>
      <c r="J50" s="26">
        <v>29</v>
      </c>
      <c r="K50" s="28">
        <v>651000</v>
      </c>
      <c r="L50" s="26">
        <v>4</v>
      </c>
      <c r="M50" s="14" t="str">
        <f t="shared" si="0"/>
        <v>Active</v>
      </c>
      <c r="N50" s="14" t="str">
        <f t="shared" si="1"/>
        <v/>
      </c>
      <c r="O50" s="29">
        <f>(IF(H50="",Assumptions!$B$3,H50)-G50)/365.25</f>
        <v>7.055441478439425</v>
      </c>
      <c r="P50" s="14" t="str">
        <f t="shared" si="2"/>
        <v>25 to 34</v>
      </c>
      <c r="Q50" s="14" t="str">
        <f t="shared" si="3"/>
        <v>5 to 10 yrs</v>
      </c>
      <c r="R50" s="30">
        <f>K50/INDEX(Assumptions!$B$9:$B$13,MATCH(E50,Assumptions!$A$9:$A$13,0))</f>
        <v>1.1836363636363636</v>
      </c>
    </row>
    <row r="51" spans="1:18" x14ac:dyDescent="0.35">
      <c r="A51" s="26" t="s">
        <v>188</v>
      </c>
      <c r="B51" s="26" t="s">
        <v>189</v>
      </c>
      <c r="C51" s="26" t="s">
        <v>20</v>
      </c>
      <c r="D51" s="26" t="s">
        <v>35</v>
      </c>
      <c r="E51" s="26" t="s">
        <v>61</v>
      </c>
      <c r="F51" s="26" t="s">
        <v>68</v>
      </c>
      <c r="G51" s="27">
        <v>43752</v>
      </c>
      <c r="H51" s="27">
        <v>46223</v>
      </c>
      <c r="I51" s="26" t="s">
        <v>176</v>
      </c>
      <c r="J51" s="26">
        <v>41</v>
      </c>
      <c r="K51" s="28">
        <v>1687000</v>
      </c>
      <c r="L51" s="26">
        <v>2</v>
      </c>
      <c r="M51" s="14" t="str">
        <f t="shared" si="0"/>
        <v>Exited</v>
      </c>
      <c r="N51" s="14" t="str">
        <f t="shared" si="1"/>
        <v>Voluntary</v>
      </c>
      <c r="O51" s="29">
        <f>(IF(H51="",Assumptions!$B$3,H51)-G51)/365.25</f>
        <v>6.7652292950034223</v>
      </c>
      <c r="P51" s="14" t="str">
        <f t="shared" si="2"/>
        <v>35 to 44</v>
      </c>
      <c r="Q51" s="14" t="str">
        <f t="shared" si="3"/>
        <v>5 to 10 yrs</v>
      </c>
      <c r="R51" s="30">
        <f>K51/INDEX(Assumptions!$B$9:$B$13,MATCH(E51,Assumptions!$A$9:$A$13,0))</f>
        <v>1.0224242424242425</v>
      </c>
    </row>
    <row r="52" spans="1:18" x14ac:dyDescent="0.35">
      <c r="A52" s="26" t="s">
        <v>190</v>
      </c>
      <c r="B52" s="26" t="s">
        <v>169</v>
      </c>
      <c r="C52" s="26" t="s">
        <v>20</v>
      </c>
      <c r="D52" s="26" t="s">
        <v>29</v>
      </c>
      <c r="E52" s="26" t="s">
        <v>59</v>
      </c>
      <c r="F52" s="26" t="s">
        <v>66</v>
      </c>
      <c r="G52" s="27">
        <v>43753</v>
      </c>
      <c r="H52" s="27">
        <v>46246</v>
      </c>
      <c r="I52" s="26" t="s">
        <v>191</v>
      </c>
      <c r="J52" s="26">
        <v>30</v>
      </c>
      <c r="K52" s="28">
        <v>519000</v>
      </c>
      <c r="L52" s="26">
        <v>1</v>
      </c>
      <c r="M52" s="14" t="str">
        <f t="shared" si="0"/>
        <v>Exited</v>
      </c>
      <c r="N52" s="14" t="str">
        <f t="shared" si="1"/>
        <v>Involuntary</v>
      </c>
      <c r="O52" s="29">
        <f>(IF(H52="",Assumptions!$B$3,H52)-G52)/365.25</f>
        <v>6.8254620123203287</v>
      </c>
      <c r="P52" s="14" t="str">
        <f t="shared" si="2"/>
        <v>25 to 34</v>
      </c>
      <c r="Q52" s="14" t="str">
        <f t="shared" si="3"/>
        <v>5 to 10 yrs</v>
      </c>
      <c r="R52" s="30">
        <f>K52/INDEX(Assumptions!$B$9:$B$13,MATCH(E52,Assumptions!$A$9:$A$13,0))</f>
        <v>0.94363636363636361</v>
      </c>
    </row>
    <row r="53" spans="1:18" x14ac:dyDescent="0.35">
      <c r="A53" s="26" t="s">
        <v>192</v>
      </c>
      <c r="B53" s="26" t="s">
        <v>193</v>
      </c>
      <c r="C53" s="26" t="s">
        <v>21</v>
      </c>
      <c r="D53" s="26" t="s">
        <v>31</v>
      </c>
      <c r="E53" s="26" t="s">
        <v>62</v>
      </c>
      <c r="F53" s="26" t="s">
        <v>69</v>
      </c>
      <c r="G53" s="27">
        <v>43761</v>
      </c>
      <c r="H53" s="27"/>
      <c r="I53" s="26"/>
      <c r="J53" s="26">
        <v>42</v>
      </c>
      <c r="K53" s="28">
        <v>3348000</v>
      </c>
      <c r="L53" s="26">
        <v>4</v>
      </c>
      <c r="M53" s="14" t="str">
        <f t="shared" si="0"/>
        <v>Active</v>
      </c>
      <c r="N53" s="14" t="str">
        <f t="shared" si="1"/>
        <v/>
      </c>
      <c r="O53" s="29">
        <f>(IF(H53="",Assumptions!$B$3,H53)-G53)/365.25</f>
        <v>6.9377138945927443</v>
      </c>
      <c r="P53" s="14" t="str">
        <f t="shared" si="2"/>
        <v>35 to 44</v>
      </c>
      <c r="Q53" s="14" t="str">
        <f t="shared" si="3"/>
        <v>5 to 10 yrs</v>
      </c>
      <c r="R53" s="30">
        <f>K53/INDEX(Assumptions!$B$9:$B$13,MATCH(E53,Assumptions!$A$9:$A$13,0))</f>
        <v>1.1160000000000001</v>
      </c>
    </row>
    <row r="54" spans="1:18" x14ac:dyDescent="0.35">
      <c r="A54" s="26" t="s">
        <v>194</v>
      </c>
      <c r="B54" s="26" t="s">
        <v>195</v>
      </c>
      <c r="C54" s="26" t="s">
        <v>21</v>
      </c>
      <c r="D54" s="26" t="s">
        <v>31</v>
      </c>
      <c r="E54" s="26" t="s">
        <v>58</v>
      </c>
      <c r="F54" s="26" t="s">
        <v>67</v>
      </c>
      <c r="G54" s="27">
        <v>43811</v>
      </c>
      <c r="H54" s="27"/>
      <c r="I54" s="26"/>
      <c r="J54" s="26">
        <v>26</v>
      </c>
      <c r="K54" s="28">
        <v>374000</v>
      </c>
      <c r="L54" s="26">
        <v>5</v>
      </c>
      <c r="M54" s="14" t="str">
        <f t="shared" si="0"/>
        <v>Active</v>
      </c>
      <c r="N54" s="14" t="str">
        <f t="shared" si="1"/>
        <v/>
      </c>
      <c r="O54" s="29">
        <f>(IF(H54="",Assumptions!$B$3,H54)-G54)/365.25</f>
        <v>6.8008213552361401</v>
      </c>
      <c r="P54" s="14" t="str">
        <f t="shared" si="2"/>
        <v>25 to 34</v>
      </c>
      <c r="Q54" s="14" t="str">
        <f t="shared" si="3"/>
        <v>5 to 10 yrs</v>
      </c>
      <c r="R54" s="30">
        <f>K54/INDEX(Assumptions!$B$9:$B$13,MATCH(E54,Assumptions!$A$9:$A$13,0))</f>
        <v>1.0685714285714285</v>
      </c>
    </row>
    <row r="55" spans="1:18" x14ac:dyDescent="0.35">
      <c r="A55" s="26" t="s">
        <v>196</v>
      </c>
      <c r="B55" s="26" t="s">
        <v>197</v>
      </c>
      <c r="C55" s="26" t="s">
        <v>21</v>
      </c>
      <c r="D55" s="26" t="s">
        <v>32</v>
      </c>
      <c r="E55" s="26" t="s">
        <v>59</v>
      </c>
      <c r="F55" s="26" t="s">
        <v>69</v>
      </c>
      <c r="G55" s="27">
        <v>43864</v>
      </c>
      <c r="H55" s="27"/>
      <c r="I55" s="26"/>
      <c r="J55" s="26">
        <v>28</v>
      </c>
      <c r="K55" s="28">
        <v>586000</v>
      </c>
      <c r="L55" s="26">
        <v>3</v>
      </c>
      <c r="M55" s="14" t="str">
        <f t="shared" si="0"/>
        <v>Active</v>
      </c>
      <c r="N55" s="14" t="str">
        <f t="shared" si="1"/>
        <v/>
      </c>
      <c r="O55" s="29">
        <f>(IF(H55="",Assumptions!$B$3,H55)-G55)/365.25</f>
        <v>6.6557152635181387</v>
      </c>
      <c r="P55" s="14" t="str">
        <f t="shared" si="2"/>
        <v>25 to 34</v>
      </c>
      <c r="Q55" s="14" t="str">
        <f t="shared" si="3"/>
        <v>5 to 10 yrs</v>
      </c>
      <c r="R55" s="30">
        <f>K55/INDEX(Assumptions!$B$9:$B$13,MATCH(E55,Assumptions!$A$9:$A$13,0))</f>
        <v>1.0654545454545454</v>
      </c>
    </row>
    <row r="56" spans="1:18" x14ac:dyDescent="0.35">
      <c r="A56" s="26" t="s">
        <v>198</v>
      </c>
      <c r="B56" s="26" t="s">
        <v>199</v>
      </c>
      <c r="C56" s="26" t="s">
        <v>21</v>
      </c>
      <c r="D56" s="26" t="s">
        <v>29</v>
      </c>
      <c r="E56" s="26" t="s">
        <v>58</v>
      </c>
      <c r="F56" s="26" t="s">
        <v>66</v>
      </c>
      <c r="G56" s="27">
        <v>43885</v>
      </c>
      <c r="H56" s="27"/>
      <c r="I56" s="26"/>
      <c r="J56" s="26">
        <v>25</v>
      </c>
      <c r="K56" s="28">
        <v>343000</v>
      </c>
      <c r="L56" s="26">
        <v>3</v>
      </c>
      <c r="M56" s="14" t="str">
        <f t="shared" si="0"/>
        <v>Active</v>
      </c>
      <c r="N56" s="14" t="str">
        <f t="shared" si="1"/>
        <v/>
      </c>
      <c r="O56" s="29">
        <f>(IF(H56="",Assumptions!$B$3,H56)-G56)/365.25</f>
        <v>6.5982203969883644</v>
      </c>
      <c r="P56" s="14" t="str">
        <f t="shared" si="2"/>
        <v>25 to 34</v>
      </c>
      <c r="Q56" s="14" t="str">
        <f t="shared" si="3"/>
        <v>5 to 10 yrs</v>
      </c>
      <c r="R56" s="30">
        <f>K56/INDEX(Assumptions!$B$9:$B$13,MATCH(E56,Assumptions!$A$9:$A$13,0))</f>
        <v>0.98</v>
      </c>
    </row>
    <row r="57" spans="1:18" x14ac:dyDescent="0.35">
      <c r="A57" s="26" t="s">
        <v>200</v>
      </c>
      <c r="B57" s="26" t="s">
        <v>201</v>
      </c>
      <c r="C57" s="26" t="s">
        <v>21</v>
      </c>
      <c r="D57" s="26" t="s">
        <v>29</v>
      </c>
      <c r="E57" s="26" t="s">
        <v>62</v>
      </c>
      <c r="F57" s="26" t="s">
        <v>69</v>
      </c>
      <c r="G57" s="27">
        <v>43916</v>
      </c>
      <c r="H57" s="27"/>
      <c r="I57" s="26"/>
      <c r="J57" s="26">
        <v>42</v>
      </c>
      <c r="K57" s="28">
        <v>2841000</v>
      </c>
      <c r="L57" s="26">
        <v>3</v>
      </c>
      <c r="M57" s="14" t="str">
        <f t="shared" si="0"/>
        <v>Active</v>
      </c>
      <c r="N57" s="14" t="str">
        <f t="shared" si="1"/>
        <v/>
      </c>
      <c r="O57" s="29">
        <f>(IF(H57="",Assumptions!$B$3,H57)-G57)/365.25</f>
        <v>6.5133470225872694</v>
      </c>
      <c r="P57" s="14" t="str">
        <f t="shared" si="2"/>
        <v>35 to 44</v>
      </c>
      <c r="Q57" s="14" t="str">
        <f t="shared" si="3"/>
        <v>5 to 10 yrs</v>
      </c>
      <c r="R57" s="30">
        <f>K57/INDEX(Assumptions!$B$9:$B$13,MATCH(E57,Assumptions!$A$9:$A$13,0))</f>
        <v>0.94699999999999995</v>
      </c>
    </row>
    <row r="58" spans="1:18" x14ac:dyDescent="0.35">
      <c r="A58" s="26" t="s">
        <v>202</v>
      </c>
      <c r="B58" s="26" t="s">
        <v>153</v>
      </c>
      <c r="C58" s="26" t="s">
        <v>20</v>
      </c>
      <c r="D58" s="26" t="s">
        <v>32</v>
      </c>
      <c r="E58" s="26" t="s">
        <v>59</v>
      </c>
      <c r="F58" s="26" t="s">
        <v>69</v>
      </c>
      <c r="G58" s="27">
        <v>43988</v>
      </c>
      <c r="H58" s="27"/>
      <c r="I58" s="26"/>
      <c r="J58" s="26">
        <v>32</v>
      </c>
      <c r="K58" s="28">
        <v>528000</v>
      </c>
      <c r="L58" s="26">
        <v>3</v>
      </c>
      <c r="M58" s="14" t="str">
        <f t="shared" si="0"/>
        <v>Active</v>
      </c>
      <c r="N58" s="14" t="str">
        <f t="shared" si="1"/>
        <v/>
      </c>
      <c r="O58" s="29">
        <f>(IF(H58="",Assumptions!$B$3,H58)-G58)/365.25</f>
        <v>6.3162217659137578</v>
      </c>
      <c r="P58" s="14" t="str">
        <f t="shared" si="2"/>
        <v>25 to 34</v>
      </c>
      <c r="Q58" s="14" t="str">
        <f t="shared" si="3"/>
        <v>5 to 10 yrs</v>
      </c>
      <c r="R58" s="30">
        <f>K58/INDEX(Assumptions!$B$9:$B$13,MATCH(E58,Assumptions!$A$9:$A$13,0))</f>
        <v>0.96</v>
      </c>
    </row>
    <row r="59" spans="1:18" x14ac:dyDescent="0.35">
      <c r="A59" s="26" t="s">
        <v>203</v>
      </c>
      <c r="B59" s="26" t="s">
        <v>204</v>
      </c>
      <c r="C59" s="26" t="s">
        <v>20</v>
      </c>
      <c r="D59" s="26" t="s">
        <v>30</v>
      </c>
      <c r="E59" s="26" t="s">
        <v>58</v>
      </c>
      <c r="F59" s="26" t="s">
        <v>66</v>
      </c>
      <c r="G59" s="27">
        <v>44043</v>
      </c>
      <c r="H59" s="27"/>
      <c r="I59" s="26"/>
      <c r="J59" s="26">
        <v>26</v>
      </c>
      <c r="K59" s="28">
        <v>310000</v>
      </c>
      <c r="L59" s="26">
        <v>3</v>
      </c>
      <c r="M59" s="14" t="str">
        <f t="shared" si="0"/>
        <v>Active</v>
      </c>
      <c r="N59" s="14" t="str">
        <f t="shared" si="1"/>
        <v/>
      </c>
      <c r="O59" s="29">
        <f>(IF(H59="",Assumptions!$B$3,H59)-G59)/365.25</f>
        <v>6.1656399726214923</v>
      </c>
      <c r="P59" s="14" t="str">
        <f t="shared" si="2"/>
        <v>25 to 34</v>
      </c>
      <c r="Q59" s="14" t="str">
        <f t="shared" si="3"/>
        <v>5 to 10 yrs</v>
      </c>
      <c r="R59" s="30">
        <f>K59/INDEX(Assumptions!$B$9:$B$13,MATCH(E59,Assumptions!$A$9:$A$13,0))</f>
        <v>0.88571428571428568</v>
      </c>
    </row>
    <row r="60" spans="1:18" x14ac:dyDescent="0.35">
      <c r="A60" s="26" t="s">
        <v>205</v>
      </c>
      <c r="B60" s="26" t="s">
        <v>206</v>
      </c>
      <c r="C60" s="26" t="s">
        <v>20</v>
      </c>
      <c r="D60" s="26" t="s">
        <v>29</v>
      </c>
      <c r="E60" s="26" t="s">
        <v>58</v>
      </c>
      <c r="F60" s="26" t="s">
        <v>65</v>
      </c>
      <c r="G60" s="27">
        <v>44074</v>
      </c>
      <c r="H60" s="27">
        <v>46189</v>
      </c>
      <c r="I60" s="26" t="s">
        <v>207</v>
      </c>
      <c r="J60" s="26">
        <v>25</v>
      </c>
      <c r="K60" s="28">
        <v>333000</v>
      </c>
      <c r="L60" s="26">
        <v>4</v>
      </c>
      <c r="M60" s="14" t="str">
        <f t="shared" si="0"/>
        <v>Exited</v>
      </c>
      <c r="N60" s="14" t="str">
        <f t="shared" si="1"/>
        <v>Voluntary</v>
      </c>
      <c r="O60" s="29">
        <f>(IF(H60="",Assumptions!$B$3,H60)-G60)/365.25</f>
        <v>5.7905544147843946</v>
      </c>
      <c r="P60" s="14" t="str">
        <f t="shared" si="2"/>
        <v>25 to 34</v>
      </c>
      <c r="Q60" s="14" t="str">
        <f t="shared" si="3"/>
        <v>5 to 10 yrs</v>
      </c>
      <c r="R60" s="30">
        <f>K60/INDEX(Assumptions!$B$9:$B$13,MATCH(E60,Assumptions!$A$9:$A$13,0))</f>
        <v>0.9514285714285714</v>
      </c>
    </row>
    <row r="61" spans="1:18" x14ac:dyDescent="0.35">
      <c r="A61" s="26" t="s">
        <v>208</v>
      </c>
      <c r="B61" s="26" t="s">
        <v>209</v>
      </c>
      <c r="C61" s="26" t="s">
        <v>20</v>
      </c>
      <c r="D61" s="26" t="s">
        <v>34</v>
      </c>
      <c r="E61" s="26" t="s">
        <v>59</v>
      </c>
      <c r="F61" s="26" t="s">
        <v>65</v>
      </c>
      <c r="G61" s="27">
        <v>44090</v>
      </c>
      <c r="H61" s="27"/>
      <c r="I61" s="26"/>
      <c r="J61" s="26">
        <v>27</v>
      </c>
      <c r="K61" s="28">
        <v>528000</v>
      </c>
      <c r="L61" s="26">
        <v>4</v>
      </c>
      <c r="M61" s="14" t="str">
        <f t="shared" si="0"/>
        <v>Active</v>
      </c>
      <c r="N61" s="14" t="str">
        <f t="shared" si="1"/>
        <v/>
      </c>
      <c r="O61" s="29">
        <f>(IF(H61="",Assumptions!$B$3,H61)-G61)/365.25</f>
        <v>6.0369609856262834</v>
      </c>
      <c r="P61" s="14" t="str">
        <f t="shared" si="2"/>
        <v>25 to 34</v>
      </c>
      <c r="Q61" s="14" t="str">
        <f t="shared" si="3"/>
        <v>5 to 10 yrs</v>
      </c>
      <c r="R61" s="30">
        <f>K61/INDEX(Assumptions!$B$9:$B$13,MATCH(E61,Assumptions!$A$9:$A$13,0))</f>
        <v>0.96</v>
      </c>
    </row>
    <row r="62" spans="1:18" x14ac:dyDescent="0.35">
      <c r="A62" s="26" t="s">
        <v>210</v>
      </c>
      <c r="B62" s="26" t="s">
        <v>211</v>
      </c>
      <c r="C62" s="26" t="s">
        <v>20</v>
      </c>
      <c r="D62" s="26" t="s">
        <v>34</v>
      </c>
      <c r="E62" s="26" t="s">
        <v>61</v>
      </c>
      <c r="F62" s="26" t="s">
        <v>66</v>
      </c>
      <c r="G62" s="27">
        <v>44091</v>
      </c>
      <c r="H62" s="27"/>
      <c r="I62" s="26"/>
      <c r="J62" s="26">
        <v>40</v>
      </c>
      <c r="K62" s="28">
        <v>1603000</v>
      </c>
      <c r="L62" s="26">
        <v>3</v>
      </c>
      <c r="M62" s="14" t="str">
        <f t="shared" si="0"/>
        <v>Active</v>
      </c>
      <c r="N62" s="14" t="str">
        <f t="shared" si="1"/>
        <v/>
      </c>
      <c r="O62" s="29">
        <f>(IF(H62="",Assumptions!$B$3,H62)-G62)/365.25</f>
        <v>6.0342231348391513</v>
      </c>
      <c r="P62" s="14" t="str">
        <f t="shared" si="2"/>
        <v>35 to 44</v>
      </c>
      <c r="Q62" s="14" t="str">
        <f t="shared" si="3"/>
        <v>5 to 10 yrs</v>
      </c>
      <c r="R62" s="30">
        <f>K62/INDEX(Assumptions!$B$9:$B$13,MATCH(E62,Assumptions!$A$9:$A$13,0))</f>
        <v>0.97151515151515155</v>
      </c>
    </row>
    <row r="63" spans="1:18" x14ac:dyDescent="0.35">
      <c r="A63" s="26" t="s">
        <v>212</v>
      </c>
      <c r="B63" s="26" t="s">
        <v>213</v>
      </c>
      <c r="C63" s="26" t="s">
        <v>20</v>
      </c>
      <c r="D63" s="26" t="s">
        <v>30</v>
      </c>
      <c r="E63" s="26" t="s">
        <v>59</v>
      </c>
      <c r="F63" s="26" t="s">
        <v>65</v>
      </c>
      <c r="G63" s="27">
        <v>44104</v>
      </c>
      <c r="H63" s="27">
        <v>45967</v>
      </c>
      <c r="I63" s="26" t="s">
        <v>214</v>
      </c>
      <c r="J63" s="26">
        <v>28</v>
      </c>
      <c r="K63" s="28">
        <v>484000</v>
      </c>
      <c r="L63" s="26">
        <v>3</v>
      </c>
      <c r="M63" s="14" t="str">
        <f t="shared" si="0"/>
        <v>Exited</v>
      </c>
      <c r="N63" s="14" t="str">
        <f t="shared" si="1"/>
        <v>Voluntary</v>
      </c>
      <c r="O63" s="29">
        <f>(IF(H63="",Assumptions!$B$3,H63)-G63)/365.25</f>
        <v>5.1006160164271046</v>
      </c>
      <c r="P63" s="14" t="str">
        <f t="shared" si="2"/>
        <v>25 to 34</v>
      </c>
      <c r="Q63" s="14" t="str">
        <f t="shared" si="3"/>
        <v>5 to 10 yrs</v>
      </c>
      <c r="R63" s="30">
        <f>K63/INDEX(Assumptions!$B$9:$B$13,MATCH(E63,Assumptions!$A$9:$A$13,0))</f>
        <v>0.88</v>
      </c>
    </row>
    <row r="64" spans="1:18" x14ac:dyDescent="0.35">
      <c r="A64" s="26" t="s">
        <v>215</v>
      </c>
      <c r="B64" s="26" t="s">
        <v>216</v>
      </c>
      <c r="C64" s="26" t="s">
        <v>20</v>
      </c>
      <c r="D64" s="26" t="s">
        <v>30</v>
      </c>
      <c r="E64" s="26" t="s">
        <v>62</v>
      </c>
      <c r="F64" s="26" t="s">
        <v>67</v>
      </c>
      <c r="G64" s="27">
        <v>44159</v>
      </c>
      <c r="H64" s="27">
        <v>45987</v>
      </c>
      <c r="I64" s="26" t="s">
        <v>217</v>
      </c>
      <c r="J64" s="26">
        <v>46</v>
      </c>
      <c r="K64" s="28">
        <v>2145000</v>
      </c>
      <c r="L64" s="26">
        <v>1</v>
      </c>
      <c r="M64" s="14" t="str">
        <f t="shared" si="0"/>
        <v>Exited</v>
      </c>
      <c r="N64" s="14" t="str">
        <f t="shared" si="1"/>
        <v>Involuntary</v>
      </c>
      <c r="O64" s="29">
        <f>(IF(H64="",Assumptions!$B$3,H64)-G64)/365.25</f>
        <v>5.0047912388774813</v>
      </c>
      <c r="P64" s="14" t="str">
        <f t="shared" si="2"/>
        <v>45 to 54</v>
      </c>
      <c r="Q64" s="14" t="str">
        <f t="shared" si="3"/>
        <v>5 to 10 yrs</v>
      </c>
      <c r="R64" s="30">
        <f>K64/INDEX(Assumptions!$B$9:$B$13,MATCH(E64,Assumptions!$A$9:$A$13,0))</f>
        <v>0.71499999999999997</v>
      </c>
    </row>
    <row r="65" spans="1:18" x14ac:dyDescent="0.35">
      <c r="A65" s="26" t="s">
        <v>218</v>
      </c>
      <c r="B65" s="26" t="s">
        <v>219</v>
      </c>
      <c r="C65" s="26" t="s">
        <v>20</v>
      </c>
      <c r="D65" s="26" t="s">
        <v>34</v>
      </c>
      <c r="E65" s="26" t="s">
        <v>60</v>
      </c>
      <c r="F65" s="26" t="s">
        <v>66</v>
      </c>
      <c r="G65" s="27">
        <v>44171</v>
      </c>
      <c r="H65" s="27"/>
      <c r="I65" s="26"/>
      <c r="J65" s="26">
        <v>31</v>
      </c>
      <c r="K65" s="28">
        <v>1025000</v>
      </c>
      <c r="L65" s="26">
        <v>3</v>
      </c>
      <c r="M65" s="14" t="str">
        <f t="shared" si="0"/>
        <v>Active</v>
      </c>
      <c r="N65" s="14" t="str">
        <f t="shared" si="1"/>
        <v/>
      </c>
      <c r="O65" s="29">
        <f>(IF(H65="",Assumptions!$B$3,H65)-G65)/365.25</f>
        <v>5.8151950718685832</v>
      </c>
      <c r="P65" s="14" t="str">
        <f t="shared" si="2"/>
        <v>25 to 34</v>
      </c>
      <c r="Q65" s="14" t="str">
        <f t="shared" si="3"/>
        <v>5 to 10 yrs</v>
      </c>
      <c r="R65" s="30">
        <f>K65/INDEX(Assumptions!$B$9:$B$13,MATCH(E65,Assumptions!$A$9:$A$13,0))</f>
        <v>1.0789473684210527</v>
      </c>
    </row>
    <row r="66" spans="1:18" x14ac:dyDescent="0.35">
      <c r="A66" s="26" t="s">
        <v>220</v>
      </c>
      <c r="B66" s="26" t="s">
        <v>221</v>
      </c>
      <c r="C66" s="26" t="s">
        <v>21</v>
      </c>
      <c r="D66" s="26" t="s">
        <v>30</v>
      </c>
      <c r="E66" s="26" t="s">
        <v>59</v>
      </c>
      <c r="F66" s="26" t="s">
        <v>65</v>
      </c>
      <c r="G66" s="27">
        <v>44181</v>
      </c>
      <c r="H66" s="27">
        <v>46012</v>
      </c>
      <c r="I66" s="26" t="s">
        <v>147</v>
      </c>
      <c r="J66" s="26">
        <v>27</v>
      </c>
      <c r="K66" s="28">
        <v>355000</v>
      </c>
      <c r="L66" s="26">
        <v>3</v>
      </c>
      <c r="M66" s="14" t="str">
        <f t="shared" ref="M66:M129" si="4">IF(H66="","Active","Exited")</f>
        <v>Exited</v>
      </c>
      <c r="N66" s="14" t="str">
        <f t="shared" ref="N66:N129" si="5">IF(H66="","",IF(OR(I66="Performance Termination",I66="Restructuring"),"Involuntary","Voluntary"))</f>
        <v>Voluntary</v>
      </c>
      <c r="O66" s="29">
        <f>(IF(H66="",Assumptions!$B$3,H66)-G66)/365.25</f>
        <v>5.0130047912388775</v>
      </c>
      <c r="P66" s="14" t="str">
        <f t="shared" ref="P66:P129" si="6">IF(J66&lt;25,"Under 25",IF(J66&lt;35,"25 to 34",IF(J66&lt;45,"35 to 44",IF(J66&lt;55,"45 to 54","55 and above"))))</f>
        <v>25 to 34</v>
      </c>
      <c r="Q66" s="14" t="str">
        <f t="shared" ref="Q66:Q129" si="7">IF(O66&lt;1,"Under 1 yr",IF(O66&lt;3,"1 to 3 yrs",IF(O66&lt;5,"3 to 5 yrs",IF(O66&lt;10,"5 to 10 yrs","10+ yrs"))))</f>
        <v>5 to 10 yrs</v>
      </c>
      <c r="R66" s="30">
        <f>K66/INDEX(Assumptions!$B$9:$B$13,MATCH(E66,Assumptions!$A$9:$A$13,0))</f>
        <v>0.6454545454545455</v>
      </c>
    </row>
    <row r="67" spans="1:18" x14ac:dyDescent="0.35">
      <c r="A67" s="26" t="s">
        <v>222</v>
      </c>
      <c r="B67" s="26" t="s">
        <v>223</v>
      </c>
      <c r="C67" s="26" t="s">
        <v>20</v>
      </c>
      <c r="D67" s="26" t="s">
        <v>32</v>
      </c>
      <c r="E67" s="26" t="s">
        <v>60</v>
      </c>
      <c r="F67" s="26" t="s">
        <v>67</v>
      </c>
      <c r="G67" s="27">
        <v>44235</v>
      </c>
      <c r="H67" s="27"/>
      <c r="I67" s="26"/>
      <c r="J67" s="26">
        <v>34</v>
      </c>
      <c r="K67" s="28">
        <v>978000</v>
      </c>
      <c r="L67" s="26">
        <v>3</v>
      </c>
      <c r="M67" s="14" t="str">
        <f t="shared" si="4"/>
        <v>Active</v>
      </c>
      <c r="N67" s="14" t="str">
        <f t="shared" si="5"/>
        <v/>
      </c>
      <c r="O67" s="29">
        <f>(IF(H67="",Assumptions!$B$3,H67)-G67)/365.25</f>
        <v>5.6399726214921291</v>
      </c>
      <c r="P67" s="14" t="str">
        <f t="shared" si="6"/>
        <v>25 to 34</v>
      </c>
      <c r="Q67" s="14" t="str">
        <f t="shared" si="7"/>
        <v>5 to 10 yrs</v>
      </c>
      <c r="R67" s="30">
        <f>K67/INDEX(Assumptions!$B$9:$B$13,MATCH(E67,Assumptions!$A$9:$A$13,0))</f>
        <v>1.0294736842105263</v>
      </c>
    </row>
    <row r="68" spans="1:18" x14ac:dyDescent="0.35">
      <c r="A68" s="26" t="s">
        <v>224</v>
      </c>
      <c r="B68" s="26" t="s">
        <v>225</v>
      </c>
      <c r="C68" s="26" t="s">
        <v>20</v>
      </c>
      <c r="D68" s="26" t="s">
        <v>29</v>
      </c>
      <c r="E68" s="26" t="s">
        <v>59</v>
      </c>
      <c r="F68" s="26" t="s">
        <v>65</v>
      </c>
      <c r="G68" s="27">
        <v>44256</v>
      </c>
      <c r="H68" s="27"/>
      <c r="I68" s="26"/>
      <c r="J68" s="26">
        <v>30</v>
      </c>
      <c r="K68" s="28">
        <v>521000</v>
      </c>
      <c r="L68" s="26">
        <v>3</v>
      </c>
      <c r="M68" s="14" t="str">
        <f t="shared" si="4"/>
        <v>Active</v>
      </c>
      <c r="N68" s="14" t="str">
        <f t="shared" si="5"/>
        <v/>
      </c>
      <c r="O68" s="29">
        <f>(IF(H68="",Assumptions!$B$3,H68)-G68)/365.25</f>
        <v>5.5824777549623548</v>
      </c>
      <c r="P68" s="14" t="str">
        <f t="shared" si="6"/>
        <v>25 to 34</v>
      </c>
      <c r="Q68" s="14" t="str">
        <f t="shared" si="7"/>
        <v>5 to 10 yrs</v>
      </c>
      <c r="R68" s="30">
        <f>K68/INDEX(Assumptions!$B$9:$B$13,MATCH(E68,Assumptions!$A$9:$A$13,0))</f>
        <v>0.94727272727272727</v>
      </c>
    </row>
    <row r="69" spans="1:18" x14ac:dyDescent="0.35">
      <c r="A69" s="26" t="s">
        <v>226</v>
      </c>
      <c r="B69" s="26" t="s">
        <v>227</v>
      </c>
      <c r="C69" s="26" t="s">
        <v>21</v>
      </c>
      <c r="D69" s="26" t="s">
        <v>29</v>
      </c>
      <c r="E69" s="26" t="s">
        <v>62</v>
      </c>
      <c r="F69" s="26" t="s">
        <v>65</v>
      </c>
      <c r="G69" s="27">
        <v>44267</v>
      </c>
      <c r="H69" s="27">
        <v>46247</v>
      </c>
      <c r="I69" s="26" t="s">
        <v>207</v>
      </c>
      <c r="J69" s="26">
        <v>49</v>
      </c>
      <c r="K69" s="28">
        <v>2538000</v>
      </c>
      <c r="L69" s="26">
        <v>3</v>
      </c>
      <c r="M69" s="14" t="str">
        <f t="shared" si="4"/>
        <v>Exited</v>
      </c>
      <c r="N69" s="14" t="str">
        <f t="shared" si="5"/>
        <v>Voluntary</v>
      </c>
      <c r="O69" s="29">
        <f>(IF(H69="",Assumptions!$B$3,H69)-G69)/365.25</f>
        <v>5.420944558521561</v>
      </c>
      <c r="P69" s="14" t="str">
        <f t="shared" si="6"/>
        <v>45 to 54</v>
      </c>
      <c r="Q69" s="14" t="str">
        <f t="shared" si="7"/>
        <v>5 to 10 yrs</v>
      </c>
      <c r="R69" s="30">
        <f>K69/INDEX(Assumptions!$B$9:$B$13,MATCH(E69,Assumptions!$A$9:$A$13,0))</f>
        <v>0.84599999999999997</v>
      </c>
    </row>
    <row r="70" spans="1:18" x14ac:dyDescent="0.35">
      <c r="A70" s="26" t="s">
        <v>228</v>
      </c>
      <c r="B70" s="26" t="s">
        <v>229</v>
      </c>
      <c r="C70" s="26" t="s">
        <v>21</v>
      </c>
      <c r="D70" s="26" t="s">
        <v>29</v>
      </c>
      <c r="E70" s="26" t="s">
        <v>58</v>
      </c>
      <c r="F70" s="26" t="s">
        <v>65</v>
      </c>
      <c r="G70" s="27">
        <v>44268</v>
      </c>
      <c r="H70" s="27"/>
      <c r="I70" s="26"/>
      <c r="J70" s="26">
        <v>24</v>
      </c>
      <c r="K70" s="28">
        <v>334000</v>
      </c>
      <c r="L70" s="26">
        <v>4</v>
      </c>
      <c r="M70" s="14" t="str">
        <f t="shared" si="4"/>
        <v>Active</v>
      </c>
      <c r="N70" s="14" t="str">
        <f t="shared" si="5"/>
        <v/>
      </c>
      <c r="O70" s="29">
        <f>(IF(H70="",Assumptions!$B$3,H70)-G70)/365.25</f>
        <v>5.5496235455167691</v>
      </c>
      <c r="P70" s="14" t="str">
        <f t="shared" si="6"/>
        <v>Under 25</v>
      </c>
      <c r="Q70" s="14" t="str">
        <f t="shared" si="7"/>
        <v>5 to 10 yrs</v>
      </c>
      <c r="R70" s="30">
        <f>K70/INDEX(Assumptions!$B$9:$B$13,MATCH(E70,Assumptions!$A$9:$A$13,0))</f>
        <v>0.95428571428571429</v>
      </c>
    </row>
    <row r="71" spans="1:18" x14ac:dyDescent="0.35">
      <c r="A71" s="26" t="s">
        <v>230</v>
      </c>
      <c r="B71" s="26" t="s">
        <v>231</v>
      </c>
      <c r="C71" s="26" t="s">
        <v>21</v>
      </c>
      <c r="D71" s="26" t="s">
        <v>33</v>
      </c>
      <c r="E71" s="26" t="s">
        <v>59</v>
      </c>
      <c r="F71" s="26" t="s">
        <v>65</v>
      </c>
      <c r="G71" s="27">
        <v>44282</v>
      </c>
      <c r="H71" s="27"/>
      <c r="I71" s="26"/>
      <c r="J71" s="26">
        <v>30</v>
      </c>
      <c r="K71" s="28">
        <v>523000</v>
      </c>
      <c r="L71" s="26">
        <v>2</v>
      </c>
      <c r="M71" s="14" t="str">
        <f t="shared" si="4"/>
        <v>Active</v>
      </c>
      <c r="N71" s="14" t="str">
        <f t="shared" si="5"/>
        <v/>
      </c>
      <c r="O71" s="29">
        <f>(IF(H71="",Assumptions!$B$3,H71)-G71)/365.25</f>
        <v>5.5112936344969201</v>
      </c>
      <c r="P71" s="14" t="str">
        <f t="shared" si="6"/>
        <v>25 to 34</v>
      </c>
      <c r="Q71" s="14" t="str">
        <f t="shared" si="7"/>
        <v>5 to 10 yrs</v>
      </c>
      <c r="R71" s="30">
        <f>K71/INDEX(Assumptions!$B$9:$B$13,MATCH(E71,Assumptions!$A$9:$A$13,0))</f>
        <v>0.95090909090909093</v>
      </c>
    </row>
    <row r="72" spans="1:18" x14ac:dyDescent="0.35">
      <c r="A72" s="26" t="s">
        <v>232</v>
      </c>
      <c r="B72" s="26" t="s">
        <v>233</v>
      </c>
      <c r="C72" s="26" t="s">
        <v>21</v>
      </c>
      <c r="D72" s="26" t="s">
        <v>31</v>
      </c>
      <c r="E72" s="26" t="s">
        <v>62</v>
      </c>
      <c r="F72" s="26" t="s">
        <v>65</v>
      </c>
      <c r="G72" s="27">
        <v>44287</v>
      </c>
      <c r="H72" s="27"/>
      <c r="I72" s="26"/>
      <c r="J72" s="26">
        <v>45</v>
      </c>
      <c r="K72" s="28">
        <v>3389000</v>
      </c>
      <c r="L72" s="26">
        <v>3</v>
      </c>
      <c r="M72" s="14" t="str">
        <f t="shared" si="4"/>
        <v>Active</v>
      </c>
      <c r="N72" s="14" t="str">
        <f t="shared" si="5"/>
        <v/>
      </c>
      <c r="O72" s="29">
        <f>(IF(H72="",Assumptions!$B$3,H72)-G72)/365.25</f>
        <v>5.4976043805612598</v>
      </c>
      <c r="P72" s="14" t="str">
        <f t="shared" si="6"/>
        <v>45 to 54</v>
      </c>
      <c r="Q72" s="14" t="str">
        <f t="shared" si="7"/>
        <v>5 to 10 yrs</v>
      </c>
      <c r="R72" s="30">
        <f>K72/INDEX(Assumptions!$B$9:$B$13,MATCH(E72,Assumptions!$A$9:$A$13,0))</f>
        <v>1.1296666666666666</v>
      </c>
    </row>
    <row r="73" spans="1:18" x14ac:dyDescent="0.35">
      <c r="A73" s="26" t="s">
        <v>234</v>
      </c>
      <c r="B73" s="26" t="s">
        <v>235</v>
      </c>
      <c r="C73" s="26" t="s">
        <v>21</v>
      </c>
      <c r="D73" s="26" t="s">
        <v>31</v>
      </c>
      <c r="E73" s="26" t="s">
        <v>60</v>
      </c>
      <c r="F73" s="26" t="s">
        <v>67</v>
      </c>
      <c r="G73" s="27">
        <v>44291</v>
      </c>
      <c r="H73" s="27"/>
      <c r="I73" s="26"/>
      <c r="J73" s="26">
        <v>32</v>
      </c>
      <c r="K73" s="28">
        <v>1241000</v>
      </c>
      <c r="L73" s="26">
        <v>3</v>
      </c>
      <c r="M73" s="14" t="str">
        <f t="shared" si="4"/>
        <v>Active</v>
      </c>
      <c r="N73" s="14" t="str">
        <f t="shared" si="5"/>
        <v/>
      </c>
      <c r="O73" s="29">
        <f>(IF(H73="",Assumptions!$B$3,H73)-G73)/365.25</f>
        <v>5.4866529774127306</v>
      </c>
      <c r="P73" s="14" t="str">
        <f t="shared" si="6"/>
        <v>25 to 34</v>
      </c>
      <c r="Q73" s="14" t="str">
        <f t="shared" si="7"/>
        <v>5 to 10 yrs</v>
      </c>
      <c r="R73" s="30">
        <f>K73/INDEX(Assumptions!$B$9:$B$13,MATCH(E73,Assumptions!$A$9:$A$13,0))</f>
        <v>1.3063157894736843</v>
      </c>
    </row>
    <row r="74" spans="1:18" x14ac:dyDescent="0.35">
      <c r="A74" s="26" t="s">
        <v>236</v>
      </c>
      <c r="B74" s="26" t="s">
        <v>237</v>
      </c>
      <c r="C74" s="26" t="s">
        <v>20</v>
      </c>
      <c r="D74" s="26" t="s">
        <v>33</v>
      </c>
      <c r="E74" s="26" t="s">
        <v>58</v>
      </c>
      <c r="F74" s="26" t="s">
        <v>66</v>
      </c>
      <c r="G74" s="27">
        <v>44362</v>
      </c>
      <c r="H74" s="27"/>
      <c r="I74" s="26"/>
      <c r="J74" s="26">
        <v>26</v>
      </c>
      <c r="K74" s="28">
        <v>406000</v>
      </c>
      <c r="L74" s="26">
        <v>3</v>
      </c>
      <c r="M74" s="14" t="str">
        <f t="shared" si="4"/>
        <v>Active</v>
      </c>
      <c r="N74" s="14" t="str">
        <f t="shared" si="5"/>
        <v/>
      </c>
      <c r="O74" s="29">
        <f>(IF(H74="",Assumptions!$B$3,H74)-G74)/365.25</f>
        <v>5.292265571526352</v>
      </c>
      <c r="P74" s="14" t="str">
        <f t="shared" si="6"/>
        <v>25 to 34</v>
      </c>
      <c r="Q74" s="14" t="str">
        <f t="shared" si="7"/>
        <v>5 to 10 yrs</v>
      </c>
      <c r="R74" s="30">
        <f>K74/INDEX(Assumptions!$B$9:$B$13,MATCH(E74,Assumptions!$A$9:$A$13,0))</f>
        <v>1.1599999999999999</v>
      </c>
    </row>
    <row r="75" spans="1:18" x14ac:dyDescent="0.35">
      <c r="A75" s="26" t="s">
        <v>238</v>
      </c>
      <c r="B75" s="26" t="s">
        <v>239</v>
      </c>
      <c r="C75" s="26" t="s">
        <v>21</v>
      </c>
      <c r="D75" s="26" t="s">
        <v>32</v>
      </c>
      <c r="E75" s="26" t="s">
        <v>58</v>
      </c>
      <c r="F75" s="26" t="s">
        <v>67</v>
      </c>
      <c r="G75" s="27">
        <v>44367</v>
      </c>
      <c r="H75" s="27"/>
      <c r="I75" s="26"/>
      <c r="J75" s="26">
        <v>25</v>
      </c>
      <c r="K75" s="28">
        <v>311000</v>
      </c>
      <c r="L75" s="26">
        <v>5</v>
      </c>
      <c r="M75" s="14" t="str">
        <f t="shared" si="4"/>
        <v>Active</v>
      </c>
      <c r="N75" s="14" t="str">
        <f t="shared" si="5"/>
        <v/>
      </c>
      <c r="O75" s="29">
        <f>(IF(H75="",Assumptions!$B$3,H75)-G75)/365.25</f>
        <v>5.2785763175906917</v>
      </c>
      <c r="P75" s="14" t="str">
        <f t="shared" si="6"/>
        <v>25 to 34</v>
      </c>
      <c r="Q75" s="14" t="str">
        <f t="shared" si="7"/>
        <v>5 to 10 yrs</v>
      </c>
      <c r="R75" s="30">
        <f>K75/INDEX(Assumptions!$B$9:$B$13,MATCH(E75,Assumptions!$A$9:$A$13,0))</f>
        <v>0.88857142857142857</v>
      </c>
    </row>
    <row r="76" spans="1:18" x14ac:dyDescent="0.35">
      <c r="A76" s="26" t="s">
        <v>240</v>
      </c>
      <c r="B76" s="26" t="s">
        <v>241</v>
      </c>
      <c r="C76" s="26" t="s">
        <v>21</v>
      </c>
      <c r="D76" s="26" t="s">
        <v>32</v>
      </c>
      <c r="E76" s="26" t="s">
        <v>59</v>
      </c>
      <c r="F76" s="26" t="s">
        <v>69</v>
      </c>
      <c r="G76" s="27">
        <v>44370</v>
      </c>
      <c r="H76" s="27"/>
      <c r="I76" s="26"/>
      <c r="J76" s="26">
        <v>29</v>
      </c>
      <c r="K76" s="28">
        <v>565000</v>
      </c>
      <c r="L76" s="26">
        <v>3</v>
      </c>
      <c r="M76" s="14" t="str">
        <f t="shared" si="4"/>
        <v>Active</v>
      </c>
      <c r="N76" s="14" t="str">
        <f t="shared" si="5"/>
        <v/>
      </c>
      <c r="O76" s="29">
        <f>(IF(H76="",Assumptions!$B$3,H76)-G76)/365.25</f>
        <v>5.2703627652292946</v>
      </c>
      <c r="P76" s="14" t="str">
        <f t="shared" si="6"/>
        <v>25 to 34</v>
      </c>
      <c r="Q76" s="14" t="str">
        <f t="shared" si="7"/>
        <v>5 to 10 yrs</v>
      </c>
      <c r="R76" s="30">
        <f>K76/INDEX(Assumptions!$B$9:$B$13,MATCH(E76,Assumptions!$A$9:$A$13,0))</f>
        <v>1.0272727272727273</v>
      </c>
    </row>
    <row r="77" spans="1:18" x14ac:dyDescent="0.35">
      <c r="A77" s="26" t="s">
        <v>242</v>
      </c>
      <c r="B77" s="26" t="s">
        <v>243</v>
      </c>
      <c r="C77" s="26" t="s">
        <v>20</v>
      </c>
      <c r="D77" s="26" t="s">
        <v>30</v>
      </c>
      <c r="E77" s="26" t="s">
        <v>58</v>
      </c>
      <c r="F77" s="26" t="s">
        <v>65</v>
      </c>
      <c r="G77" s="27">
        <v>44383</v>
      </c>
      <c r="H77" s="27">
        <v>46000</v>
      </c>
      <c r="I77" s="26" t="s">
        <v>147</v>
      </c>
      <c r="J77" s="26">
        <v>26</v>
      </c>
      <c r="K77" s="28">
        <v>238000</v>
      </c>
      <c r="L77" s="26">
        <v>4</v>
      </c>
      <c r="M77" s="14" t="str">
        <f t="shared" si="4"/>
        <v>Exited</v>
      </c>
      <c r="N77" s="14" t="str">
        <f t="shared" si="5"/>
        <v>Voluntary</v>
      </c>
      <c r="O77" s="29">
        <f>(IF(H77="",Assumptions!$B$3,H77)-G77)/365.25</f>
        <v>4.4271047227926079</v>
      </c>
      <c r="P77" s="14" t="str">
        <f t="shared" si="6"/>
        <v>25 to 34</v>
      </c>
      <c r="Q77" s="14" t="str">
        <f t="shared" si="7"/>
        <v>3 to 5 yrs</v>
      </c>
      <c r="R77" s="30">
        <f>K77/INDEX(Assumptions!$B$9:$B$13,MATCH(E77,Assumptions!$A$9:$A$13,0))</f>
        <v>0.68</v>
      </c>
    </row>
    <row r="78" spans="1:18" x14ac:dyDescent="0.35">
      <c r="A78" s="26" t="s">
        <v>244</v>
      </c>
      <c r="B78" s="26" t="s">
        <v>245</v>
      </c>
      <c r="C78" s="26" t="s">
        <v>21</v>
      </c>
      <c r="D78" s="26" t="s">
        <v>29</v>
      </c>
      <c r="E78" s="26" t="s">
        <v>60</v>
      </c>
      <c r="F78" s="26" t="s">
        <v>67</v>
      </c>
      <c r="G78" s="27">
        <v>44389</v>
      </c>
      <c r="H78" s="27"/>
      <c r="I78" s="26"/>
      <c r="J78" s="26">
        <v>37</v>
      </c>
      <c r="K78" s="28">
        <v>1027000</v>
      </c>
      <c r="L78" s="26">
        <v>3</v>
      </c>
      <c r="M78" s="14" t="str">
        <f t="shared" si="4"/>
        <v>Active</v>
      </c>
      <c r="N78" s="14" t="str">
        <f t="shared" si="5"/>
        <v/>
      </c>
      <c r="O78" s="29">
        <f>(IF(H78="",Assumptions!$B$3,H78)-G78)/365.25</f>
        <v>5.2183436002737853</v>
      </c>
      <c r="P78" s="14" t="str">
        <f t="shared" si="6"/>
        <v>35 to 44</v>
      </c>
      <c r="Q78" s="14" t="str">
        <f t="shared" si="7"/>
        <v>5 to 10 yrs</v>
      </c>
      <c r="R78" s="30">
        <f>K78/INDEX(Assumptions!$B$9:$B$13,MATCH(E78,Assumptions!$A$9:$A$13,0))</f>
        <v>1.0810526315789473</v>
      </c>
    </row>
    <row r="79" spans="1:18" x14ac:dyDescent="0.35">
      <c r="A79" s="26" t="s">
        <v>246</v>
      </c>
      <c r="B79" s="26" t="s">
        <v>247</v>
      </c>
      <c r="C79" s="26" t="s">
        <v>21</v>
      </c>
      <c r="D79" s="26" t="s">
        <v>32</v>
      </c>
      <c r="E79" s="26" t="s">
        <v>61</v>
      </c>
      <c r="F79" s="26" t="s">
        <v>66</v>
      </c>
      <c r="G79" s="27">
        <v>44410</v>
      </c>
      <c r="H79" s="27"/>
      <c r="I79" s="26"/>
      <c r="J79" s="26">
        <v>40</v>
      </c>
      <c r="K79" s="28">
        <v>1585000</v>
      </c>
      <c r="L79" s="26">
        <v>4</v>
      </c>
      <c r="M79" s="14" t="str">
        <f t="shared" si="4"/>
        <v>Active</v>
      </c>
      <c r="N79" s="14" t="str">
        <f t="shared" si="5"/>
        <v/>
      </c>
      <c r="O79" s="29">
        <f>(IF(H79="",Assumptions!$B$3,H79)-G79)/365.25</f>
        <v>5.160848733744011</v>
      </c>
      <c r="P79" s="14" t="str">
        <f t="shared" si="6"/>
        <v>35 to 44</v>
      </c>
      <c r="Q79" s="14" t="str">
        <f t="shared" si="7"/>
        <v>5 to 10 yrs</v>
      </c>
      <c r="R79" s="30">
        <f>K79/INDEX(Assumptions!$B$9:$B$13,MATCH(E79,Assumptions!$A$9:$A$13,0))</f>
        <v>0.96060606060606057</v>
      </c>
    </row>
    <row r="80" spans="1:18" x14ac:dyDescent="0.35">
      <c r="A80" s="26" t="s">
        <v>248</v>
      </c>
      <c r="B80" s="26" t="s">
        <v>249</v>
      </c>
      <c r="C80" s="26" t="s">
        <v>20</v>
      </c>
      <c r="D80" s="26" t="s">
        <v>35</v>
      </c>
      <c r="E80" s="26" t="s">
        <v>59</v>
      </c>
      <c r="F80" s="26" t="s">
        <v>67</v>
      </c>
      <c r="G80" s="27">
        <v>44418</v>
      </c>
      <c r="H80" s="27"/>
      <c r="I80" s="26"/>
      <c r="J80" s="26">
        <v>28</v>
      </c>
      <c r="K80" s="28">
        <v>528000</v>
      </c>
      <c r="L80" s="26">
        <v>4</v>
      </c>
      <c r="M80" s="14" t="str">
        <f t="shared" si="4"/>
        <v>Active</v>
      </c>
      <c r="N80" s="14" t="str">
        <f t="shared" si="5"/>
        <v/>
      </c>
      <c r="O80" s="29">
        <f>(IF(H80="",Assumptions!$B$3,H80)-G80)/365.25</f>
        <v>5.1389459274469544</v>
      </c>
      <c r="P80" s="14" t="str">
        <f t="shared" si="6"/>
        <v>25 to 34</v>
      </c>
      <c r="Q80" s="14" t="str">
        <f t="shared" si="7"/>
        <v>5 to 10 yrs</v>
      </c>
      <c r="R80" s="30">
        <f>K80/INDEX(Assumptions!$B$9:$B$13,MATCH(E80,Assumptions!$A$9:$A$13,0))</f>
        <v>0.96</v>
      </c>
    </row>
    <row r="81" spans="1:18" x14ac:dyDescent="0.35">
      <c r="A81" s="26" t="s">
        <v>250</v>
      </c>
      <c r="B81" s="26" t="s">
        <v>251</v>
      </c>
      <c r="C81" s="26" t="s">
        <v>21</v>
      </c>
      <c r="D81" s="26" t="s">
        <v>31</v>
      </c>
      <c r="E81" s="26" t="s">
        <v>60</v>
      </c>
      <c r="F81" s="26" t="s">
        <v>67</v>
      </c>
      <c r="G81" s="27">
        <v>44421</v>
      </c>
      <c r="H81" s="27"/>
      <c r="I81" s="26"/>
      <c r="J81" s="26">
        <v>32</v>
      </c>
      <c r="K81" s="28">
        <v>1261000</v>
      </c>
      <c r="L81" s="26">
        <v>4</v>
      </c>
      <c r="M81" s="14" t="str">
        <f t="shared" si="4"/>
        <v>Active</v>
      </c>
      <c r="N81" s="14" t="str">
        <f t="shared" si="5"/>
        <v/>
      </c>
      <c r="O81" s="29">
        <f>(IF(H81="",Assumptions!$B$3,H81)-G81)/365.25</f>
        <v>5.1307323750855582</v>
      </c>
      <c r="P81" s="14" t="str">
        <f t="shared" si="6"/>
        <v>25 to 34</v>
      </c>
      <c r="Q81" s="14" t="str">
        <f t="shared" si="7"/>
        <v>5 to 10 yrs</v>
      </c>
      <c r="R81" s="30">
        <f>K81/INDEX(Assumptions!$B$9:$B$13,MATCH(E81,Assumptions!$A$9:$A$13,0))</f>
        <v>1.3273684210526315</v>
      </c>
    </row>
    <row r="82" spans="1:18" x14ac:dyDescent="0.35">
      <c r="A82" s="26" t="s">
        <v>252</v>
      </c>
      <c r="B82" s="26" t="s">
        <v>253</v>
      </c>
      <c r="C82" s="26" t="s">
        <v>21</v>
      </c>
      <c r="D82" s="26" t="s">
        <v>32</v>
      </c>
      <c r="E82" s="26" t="s">
        <v>59</v>
      </c>
      <c r="F82" s="26" t="s">
        <v>68</v>
      </c>
      <c r="G82" s="27">
        <v>44435</v>
      </c>
      <c r="H82" s="27"/>
      <c r="I82" s="26"/>
      <c r="J82" s="26">
        <v>29</v>
      </c>
      <c r="K82" s="28">
        <v>506000</v>
      </c>
      <c r="L82" s="26">
        <v>4</v>
      </c>
      <c r="M82" s="14" t="str">
        <f t="shared" si="4"/>
        <v>Active</v>
      </c>
      <c r="N82" s="14" t="str">
        <f t="shared" si="5"/>
        <v/>
      </c>
      <c r="O82" s="29">
        <f>(IF(H82="",Assumptions!$B$3,H82)-G82)/365.25</f>
        <v>5.0924024640657084</v>
      </c>
      <c r="P82" s="14" t="str">
        <f t="shared" si="6"/>
        <v>25 to 34</v>
      </c>
      <c r="Q82" s="14" t="str">
        <f t="shared" si="7"/>
        <v>5 to 10 yrs</v>
      </c>
      <c r="R82" s="30">
        <f>K82/INDEX(Assumptions!$B$9:$B$13,MATCH(E82,Assumptions!$A$9:$A$13,0))</f>
        <v>0.92</v>
      </c>
    </row>
    <row r="83" spans="1:18" x14ac:dyDescent="0.35">
      <c r="A83" s="26" t="s">
        <v>254</v>
      </c>
      <c r="B83" s="26" t="s">
        <v>255</v>
      </c>
      <c r="C83" s="26" t="s">
        <v>21</v>
      </c>
      <c r="D83" s="26" t="s">
        <v>31</v>
      </c>
      <c r="E83" s="26" t="s">
        <v>59</v>
      </c>
      <c r="F83" s="26" t="s">
        <v>65</v>
      </c>
      <c r="G83" s="27">
        <v>44440</v>
      </c>
      <c r="H83" s="27"/>
      <c r="I83" s="26"/>
      <c r="J83" s="26">
        <v>31</v>
      </c>
      <c r="K83" s="28">
        <v>693000</v>
      </c>
      <c r="L83" s="26">
        <v>4</v>
      </c>
      <c r="M83" s="14" t="str">
        <f t="shared" si="4"/>
        <v>Active</v>
      </c>
      <c r="N83" s="14" t="str">
        <f t="shared" si="5"/>
        <v/>
      </c>
      <c r="O83" s="29">
        <f>(IF(H83="",Assumptions!$B$3,H83)-G83)/365.25</f>
        <v>5.0787132101300481</v>
      </c>
      <c r="P83" s="14" t="str">
        <f t="shared" si="6"/>
        <v>25 to 34</v>
      </c>
      <c r="Q83" s="14" t="str">
        <f t="shared" si="7"/>
        <v>5 to 10 yrs</v>
      </c>
      <c r="R83" s="30">
        <f>K83/INDEX(Assumptions!$B$9:$B$13,MATCH(E83,Assumptions!$A$9:$A$13,0))</f>
        <v>1.26</v>
      </c>
    </row>
    <row r="84" spans="1:18" x14ac:dyDescent="0.35">
      <c r="A84" s="26" t="s">
        <v>256</v>
      </c>
      <c r="B84" s="26" t="s">
        <v>257</v>
      </c>
      <c r="C84" s="26" t="s">
        <v>20</v>
      </c>
      <c r="D84" s="26" t="s">
        <v>32</v>
      </c>
      <c r="E84" s="26" t="s">
        <v>61</v>
      </c>
      <c r="F84" s="26" t="s">
        <v>68</v>
      </c>
      <c r="G84" s="27">
        <v>44457</v>
      </c>
      <c r="H84" s="27">
        <v>46142</v>
      </c>
      <c r="I84" s="26" t="s">
        <v>191</v>
      </c>
      <c r="J84" s="26">
        <v>35</v>
      </c>
      <c r="K84" s="28">
        <v>1576000</v>
      </c>
      <c r="L84" s="26">
        <v>1</v>
      </c>
      <c r="M84" s="14" t="str">
        <f t="shared" si="4"/>
        <v>Exited</v>
      </c>
      <c r="N84" s="14" t="str">
        <f t="shared" si="5"/>
        <v>Involuntary</v>
      </c>
      <c r="O84" s="29">
        <f>(IF(H84="",Assumptions!$B$3,H84)-G84)/365.25</f>
        <v>4.6132785763175903</v>
      </c>
      <c r="P84" s="14" t="str">
        <f t="shared" si="6"/>
        <v>35 to 44</v>
      </c>
      <c r="Q84" s="14" t="str">
        <f t="shared" si="7"/>
        <v>3 to 5 yrs</v>
      </c>
      <c r="R84" s="30">
        <f>K84/INDEX(Assumptions!$B$9:$B$13,MATCH(E84,Assumptions!$A$9:$A$13,0))</f>
        <v>0.9551515151515152</v>
      </c>
    </row>
    <row r="85" spans="1:18" x14ac:dyDescent="0.35">
      <c r="A85" s="26" t="s">
        <v>258</v>
      </c>
      <c r="B85" s="26" t="s">
        <v>259</v>
      </c>
      <c r="C85" s="26" t="s">
        <v>21</v>
      </c>
      <c r="D85" s="26" t="s">
        <v>32</v>
      </c>
      <c r="E85" s="26" t="s">
        <v>59</v>
      </c>
      <c r="F85" s="26" t="s">
        <v>65</v>
      </c>
      <c r="G85" s="27">
        <v>44478</v>
      </c>
      <c r="H85" s="27"/>
      <c r="I85" s="26"/>
      <c r="J85" s="26">
        <v>29</v>
      </c>
      <c r="K85" s="28">
        <v>520000</v>
      </c>
      <c r="L85" s="26">
        <v>3</v>
      </c>
      <c r="M85" s="14" t="str">
        <f t="shared" si="4"/>
        <v>Active</v>
      </c>
      <c r="N85" s="14" t="str">
        <f t="shared" si="5"/>
        <v/>
      </c>
      <c r="O85" s="29">
        <f>(IF(H85="",Assumptions!$B$3,H85)-G85)/365.25</f>
        <v>4.9746748802190277</v>
      </c>
      <c r="P85" s="14" t="str">
        <f t="shared" si="6"/>
        <v>25 to 34</v>
      </c>
      <c r="Q85" s="14" t="str">
        <f t="shared" si="7"/>
        <v>3 to 5 yrs</v>
      </c>
      <c r="R85" s="30">
        <f>K85/INDEX(Assumptions!$B$9:$B$13,MATCH(E85,Assumptions!$A$9:$A$13,0))</f>
        <v>0.94545454545454544</v>
      </c>
    </row>
    <row r="86" spans="1:18" x14ac:dyDescent="0.35">
      <c r="A86" s="26" t="s">
        <v>260</v>
      </c>
      <c r="B86" s="26" t="s">
        <v>261</v>
      </c>
      <c r="C86" s="26" t="s">
        <v>20</v>
      </c>
      <c r="D86" s="26" t="s">
        <v>31</v>
      </c>
      <c r="E86" s="26" t="s">
        <v>61</v>
      </c>
      <c r="F86" s="26" t="s">
        <v>67</v>
      </c>
      <c r="G86" s="27">
        <v>44511</v>
      </c>
      <c r="H86" s="27"/>
      <c r="I86" s="26"/>
      <c r="J86" s="26">
        <v>41</v>
      </c>
      <c r="K86" s="28">
        <v>1977000</v>
      </c>
      <c r="L86" s="26">
        <v>4</v>
      </c>
      <c r="M86" s="14" t="str">
        <f t="shared" si="4"/>
        <v>Active</v>
      </c>
      <c r="N86" s="14" t="str">
        <f t="shared" si="5"/>
        <v/>
      </c>
      <c r="O86" s="29">
        <f>(IF(H86="",Assumptions!$B$3,H86)-G86)/365.25</f>
        <v>4.8843258042436686</v>
      </c>
      <c r="P86" s="14" t="str">
        <f t="shared" si="6"/>
        <v>35 to 44</v>
      </c>
      <c r="Q86" s="14" t="str">
        <f t="shared" si="7"/>
        <v>3 to 5 yrs</v>
      </c>
      <c r="R86" s="30">
        <f>K86/INDEX(Assumptions!$B$9:$B$13,MATCH(E86,Assumptions!$A$9:$A$13,0))</f>
        <v>1.1981818181818182</v>
      </c>
    </row>
    <row r="87" spans="1:18" x14ac:dyDescent="0.35">
      <c r="A87" s="26" t="s">
        <v>262</v>
      </c>
      <c r="B87" s="26" t="s">
        <v>263</v>
      </c>
      <c r="C87" s="26" t="s">
        <v>21</v>
      </c>
      <c r="D87" s="26" t="s">
        <v>32</v>
      </c>
      <c r="E87" s="26" t="s">
        <v>60</v>
      </c>
      <c r="F87" s="26" t="s">
        <v>69</v>
      </c>
      <c r="G87" s="27">
        <v>44511</v>
      </c>
      <c r="H87" s="27"/>
      <c r="I87" s="26"/>
      <c r="J87" s="26">
        <v>35</v>
      </c>
      <c r="K87" s="28">
        <v>976000</v>
      </c>
      <c r="L87" s="26">
        <v>2</v>
      </c>
      <c r="M87" s="14" t="str">
        <f t="shared" si="4"/>
        <v>Active</v>
      </c>
      <c r="N87" s="14" t="str">
        <f t="shared" si="5"/>
        <v/>
      </c>
      <c r="O87" s="29">
        <f>(IF(H87="",Assumptions!$B$3,H87)-G87)/365.25</f>
        <v>4.8843258042436686</v>
      </c>
      <c r="P87" s="14" t="str">
        <f t="shared" si="6"/>
        <v>35 to 44</v>
      </c>
      <c r="Q87" s="14" t="str">
        <f t="shared" si="7"/>
        <v>3 to 5 yrs</v>
      </c>
      <c r="R87" s="30">
        <f>K87/INDEX(Assumptions!$B$9:$B$13,MATCH(E87,Assumptions!$A$9:$A$13,0))</f>
        <v>1.0273684210526315</v>
      </c>
    </row>
    <row r="88" spans="1:18" x14ac:dyDescent="0.35">
      <c r="A88" s="26" t="s">
        <v>264</v>
      </c>
      <c r="B88" s="26" t="s">
        <v>265</v>
      </c>
      <c r="C88" s="26" t="s">
        <v>21</v>
      </c>
      <c r="D88" s="26" t="s">
        <v>32</v>
      </c>
      <c r="E88" s="26" t="s">
        <v>58</v>
      </c>
      <c r="F88" s="26" t="s">
        <v>69</v>
      </c>
      <c r="G88" s="27">
        <v>44516</v>
      </c>
      <c r="H88" s="27"/>
      <c r="I88" s="26"/>
      <c r="J88" s="26">
        <v>25</v>
      </c>
      <c r="K88" s="28">
        <v>346000</v>
      </c>
      <c r="L88" s="26">
        <v>2</v>
      </c>
      <c r="M88" s="14" t="str">
        <f t="shared" si="4"/>
        <v>Active</v>
      </c>
      <c r="N88" s="14" t="str">
        <f t="shared" si="5"/>
        <v/>
      </c>
      <c r="O88" s="29">
        <f>(IF(H88="",Assumptions!$B$3,H88)-G88)/365.25</f>
        <v>4.8706365503080082</v>
      </c>
      <c r="P88" s="14" t="str">
        <f t="shared" si="6"/>
        <v>25 to 34</v>
      </c>
      <c r="Q88" s="14" t="str">
        <f t="shared" si="7"/>
        <v>3 to 5 yrs</v>
      </c>
      <c r="R88" s="30">
        <f>K88/INDEX(Assumptions!$B$9:$B$13,MATCH(E88,Assumptions!$A$9:$A$13,0))</f>
        <v>0.98857142857142855</v>
      </c>
    </row>
    <row r="89" spans="1:18" x14ac:dyDescent="0.35">
      <c r="A89" s="26" t="s">
        <v>266</v>
      </c>
      <c r="B89" s="26" t="s">
        <v>267</v>
      </c>
      <c r="C89" s="26" t="s">
        <v>20</v>
      </c>
      <c r="D89" s="26" t="s">
        <v>32</v>
      </c>
      <c r="E89" s="26" t="s">
        <v>60</v>
      </c>
      <c r="F89" s="26" t="s">
        <v>69</v>
      </c>
      <c r="G89" s="27">
        <v>44528</v>
      </c>
      <c r="H89" s="27"/>
      <c r="I89" s="26"/>
      <c r="J89" s="26">
        <v>35</v>
      </c>
      <c r="K89" s="28">
        <v>816000</v>
      </c>
      <c r="L89" s="26">
        <v>4</v>
      </c>
      <c r="M89" s="14" t="str">
        <f t="shared" si="4"/>
        <v>Active</v>
      </c>
      <c r="N89" s="14" t="str">
        <f t="shared" si="5"/>
        <v/>
      </c>
      <c r="O89" s="29">
        <f>(IF(H89="",Assumptions!$B$3,H89)-G89)/365.25</f>
        <v>4.8377823408624234</v>
      </c>
      <c r="P89" s="14" t="str">
        <f t="shared" si="6"/>
        <v>35 to 44</v>
      </c>
      <c r="Q89" s="14" t="str">
        <f t="shared" si="7"/>
        <v>3 to 5 yrs</v>
      </c>
      <c r="R89" s="30">
        <f>K89/INDEX(Assumptions!$B$9:$B$13,MATCH(E89,Assumptions!$A$9:$A$13,0))</f>
        <v>0.85894736842105268</v>
      </c>
    </row>
    <row r="90" spans="1:18" x14ac:dyDescent="0.35">
      <c r="A90" s="26" t="s">
        <v>268</v>
      </c>
      <c r="B90" s="26" t="s">
        <v>269</v>
      </c>
      <c r="C90" s="26" t="s">
        <v>20</v>
      </c>
      <c r="D90" s="26" t="s">
        <v>31</v>
      </c>
      <c r="E90" s="26" t="s">
        <v>58</v>
      </c>
      <c r="F90" s="26" t="s">
        <v>65</v>
      </c>
      <c r="G90" s="27">
        <v>44537</v>
      </c>
      <c r="H90" s="27"/>
      <c r="I90" s="26"/>
      <c r="J90" s="26">
        <v>24</v>
      </c>
      <c r="K90" s="28">
        <v>435000</v>
      </c>
      <c r="L90" s="26">
        <v>4</v>
      </c>
      <c r="M90" s="14" t="str">
        <f t="shared" si="4"/>
        <v>Active</v>
      </c>
      <c r="N90" s="14" t="str">
        <f t="shared" si="5"/>
        <v/>
      </c>
      <c r="O90" s="29">
        <f>(IF(H90="",Assumptions!$B$3,H90)-G90)/365.25</f>
        <v>4.8131416837782339</v>
      </c>
      <c r="P90" s="14" t="str">
        <f t="shared" si="6"/>
        <v>Under 25</v>
      </c>
      <c r="Q90" s="14" t="str">
        <f t="shared" si="7"/>
        <v>3 to 5 yrs</v>
      </c>
      <c r="R90" s="30">
        <f>K90/INDEX(Assumptions!$B$9:$B$13,MATCH(E90,Assumptions!$A$9:$A$13,0))</f>
        <v>1.2428571428571429</v>
      </c>
    </row>
    <row r="91" spans="1:18" x14ac:dyDescent="0.35">
      <c r="A91" s="26" t="s">
        <v>270</v>
      </c>
      <c r="B91" s="26" t="s">
        <v>271</v>
      </c>
      <c r="C91" s="26" t="s">
        <v>20</v>
      </c>
      <c r="D91" s="26" t="s">
        <v>30</v>
      </c>
      <c r="E91" s="26" t="s">
        <v>60</v>
      </c>
      <c r="F91" s="26" t="s">
        <v>66</v>
      </c>
      <c r="G91" s="27">
        <v>44540</v>
      </c>
      <c r="H91" s="27"/>
      <c r="I91" s="26"/>
      <c r="J91" s="26">
        <v>37</v>
      </c>
      <c r="K91" s="28">
        <v>713000</v>
      </c>
      <c r="L91" s="26">
        <v>3</v>
      </c>
      <c r="M91" s="14" t="str">
        <f t="shared" si="4"/>
        <v>Active</v>
      </c>
      <c r="N91" s="14" t="str">
        <f t="shared" si="5"/>
        <v/>
      </c>
      <c r="O91" s="29">
        <f>(IF(H91="",Assumptions!$B$3,H91)-G91)/365.25</f>
        <v>4.8049281314168377</v>
      </c>
      <c r="P91" s="14" t="str">
        <f t="shared" si="6"/>
        <v>35 to 44</v>
      </c>
      <c r="Q91" s="14" t="str">
        <f t="shared" si="7"/>
        <v>3 to 5 yrs</v>
      </c>
      <c r="R91" s="30">
        <f>K91/INDEX(Assumptions!$B$9:$B$13,MATCH(E91,Assumptions!$A$9:$A$13,0))</f>
        <v>0.75052631578947371</v>
      </c>
    </row>
    <row r="92" spans="1:18" x14ac:dyDescent="0.35">
      <c r="A92" s="26" t="s">
        <v>272</v>
      </c>
      <c r="B92" s="26" t="s">
        <v>273</v>
      </c>
      <c r="C92" s="26" t="s">
        <v>20</v>
      </c>
      <c r="D92" s="26" t="s">
        <v>31</v>
      </c>
      <c r="E92" s="26" t="s">
        <v>60</v>
      </c>
      <c r="F92" s="26" t="s">
        <v>66</v>
      </c>
      <c r="G92" s="27">
        <v>44542</v>
      </c>
      <c r="H92" s="27"/>
      <c r="I92" s="26"/>
      <c r="J92" s="26">
        <v>36</v>
      </c>
      <c r="K92" s="28">
        <v>1080000</v>
      </c>
      <c r="L92" s="26">
        <v>3</v>
      </c>
      <c r="M92" s="14" t="str">
        <f t="shared" si="4"/>
        <v>Active</v>
      </c>
      <c r="N92" s="14" t="str">
        <f t="shared" si="5"/>
        <v/>
      </c>
      <c r="O92" s="29">
        <f>(IF(H92="",Assumptions!$B$3,H92)-G92)/365.25</f>
        <v>4.7994524298425736</v>
      </c>
      <c r="P92" s="14" t="str">
        <f t="shared" si="6"/>
        <v>35 to 44</v>
      </c>
      <c r="Q92" s="14" t="str">
        <f t="shared" si="7"/>
        <v>3 to 5 yrs</v>
      </c>
      <c r="R92" s="30">
        <f>K92/INDEX(Assumptions!$B$9:$B$13,MATCH(E92,Assumptions!$A$9:$A$13,0))</f>
        <v>1.1368421052631579</v>
      </c>
    </row>
    <row r="93" spans="1:18" x14ac:dyDescent="0.35">
      <c r="A93" s="26" t="s">
        <v>274</v>
      </c>
      <c r="B93" s="26" t="s">
        <v>137</v>
      </c>
      <c r="C93" s="26" t="s">
        <v>20</v>
      </c>
      <c r="D93" s="26" t="s">
        <v>33</v>
      </c>
      <c r="E93" s="26" t="s">
        <v>58</v>
      </c>
      <c r="F93" s="26" t="s">
        <v>68</v>
      </c>
      <c r="G93" s="27">
        <v>44551</v>
      </c>
      <c r="H93" s="27"/>
      <c r="I93" s="26"/>
      <c r="J93" s="26">
        <v>24</v>
      </c>
      <c r="K93" s="28">
        <v>369000</v>
      </c>
      <c r="L93" s="26">
        <v>4</v>
      </c>
      <c r="M93" s="14" t="str">
        <f t="shared" si="4"/>
        <v>Active</v>
      </c>
      <c r="N93" s="14" t="str">
        <f t="shared" si="5"/>
        <v/>
      </c>
      <c r="O93" s="29">
        <f>(IF(H93="",Assumptions!$B$3,H93)-G93)/365.25</f>
        <v>4.774811772758385</v>
      </c>
      <c r="P93" s="14" t="str">
        <f t="shared" si="6"/>
        <v>Under 25</v>
      </c>
      <c r="Q93" s="14" t="str">
        <f t="shared" si="7"/>
        <v>3 to 5 yrs</v>
      </c>
      <c r="R93" s="30">
        <f>K93/INDEX(Assumptions!$B$9:$B$13,MATCH(E93,Assumptions!$A$9:$A$13,0))</f>
        <v>1.0542857142857143</v>
      </c>
    </row>
    <row r="94" spans="1:18" x14ac:dyDescent="0.35">
      <c r="A94" s="26" t="s">
        <v>275</v>
      </c>
      <c r="B94" s="26" t="s">
        <v>276</v>
      </c>
      <c r="C94" s="26" t="s">
        <v>21</v>
      </c>
      <c r="D94" s="26" t="s">
        <v>31</v>
      </c>
      <c r="E94" s="26" t="s">
        <v>61</v>
      </c>
      <c r="F94" s="26" t="s">
        <v>66</v>
      </c>
      <c r="G94" s="27">
        <v>44604</v>
      </c>
      <c r="H94" s="27"/>
      <c r="I94" s="26"/>
      <c r="J94" s="26">
        <v>39</v>
      </c>
      <c r="K94" s="28">
        <v>1772000</v>
      </c>
      <c r="L94" s="26">
        <v>3</v>
      </c>
      <c r="M94" s="14" t="str">
        <f t="shared" si="4"/>
        <v>Active</v>
      </c>
      <c r="N94" s="14" t="str">
        <f t="shared" si="5"/>
        <v/>
      </c>
      <c r="O94" s="29">
        <f>(IF(H94="",Assumptions!$B$3,H94)-G94)/365.25</f>
        <v>4.6297056810403836</v>
      </c>
      <c r="P94" s="14" t="str">
        <f t="shared" si="6"/>
        <v>35 to 44</v>
      </c>
      <c r="Q94" s="14" t="str">
        <f t="shared" si="7"/>
        <v>3 to 5 yrs</v>
      </c>
      <c r="R94" s="30">
        <f>K94/INDEX(Assumptions!$B$9:$B$13,MATCH(E94,Assumptions!$A$9:$A$13,0))</f>
        <v>1.073939393939394</v>
      </c>
    </row>
    <row r="95" spans="1:18" x14ac:dyDescent="0.35">
      <c r="A95" s="26" t="s">
        <v>277</v>
      </c>
      <c r="B95" s="26" t="s">
        <v>278</v>
      </c>
      <c r="C95" s="26" t="s">
        <v>21</v>
      </c>
      <c r="D95" s="26" t="s">
        <v>31</v>
      </c>
      <c r="E95" s="26" t="s">
        <v>61</v>
      </c>
      <c r="F95" s="26" t="s">
        <v>69</v>
      </c>
      <c r="G95" s="27">
        <v>44626</v>
      </c>
      <c r="H95" s="27"/>
      <c r="I95" s="26"/>
      <c r="J95" s="26">
        <v>39</v>
      </c>
      <c r="K95" s="28">
        <v>1850000</v>
      </c>
      <c r="L95" s="26">
        <v>4</v>
      </c>
      <c r="M95" s="14" t="str">
        <f t="shared" si="4"/>
        <v>Active</v>
      </c>
      <c r="N95" s="14" t="str">
        <f t="shared" si="5"/>
        <v/>
      </c>
      <c r="O95" s="29">
        <f>(IF(H95="",Assumptions!$B$3,H95)-G95)/365.25</f>
        <v>4.5694729637234772</v>
      </c>
      <c r="P95" s="14" t="str">
        <f t="shared" si="6"/>
        <v>35 to 44</v>
      </c>
      <c r="Q95" s="14" t="str">
        <f t="shared" si="7"/>
        <v>3 to 5 yrs</v>
      </c>
      <c r="R95" s="30">
        <f>K95/INDEX(Assumptions!$B$9:$B$13,MATCH(E95,Assumptions!$A$9:$A$13,0))</f>
        <v>1.1212121212121211</v>
      </c>
    </row>
    <row r="96" spans="1:18" x14ac:dyDescent="0.35">
      <c r="A96" s="26" t="s">
        <v>279</v>
      </c>
      <c r="B96" s="26" t="s">
        <v>155</v>
      </c>
      <c r="C96" s="26" t="s">
        <v>20</v>
      </c>
      <c r="D96" s="26" t="s">
        <v>30</v>
      </c>
      <c r="E96" s="26" t="s">
        <v>58</v>
      </c>
      <c r="F96" s="26" t="s">
        <v>65</v>
      </c>
      <c r="G96" s="27">
        <v>44648</v>
      </c>
      <c r="H96" s="27">
        <v>45964</v>
      </c>
      <c r="I96" s="26" t="s">
        <v>176</v>
      </c>
      <c r="J96" s="26">
        <v>24</v>
      </c>
      <c r="K96" s="28">
        <v>293000</v>
      </c>
      <c r="L96" s="26">
        <v>3</v>
      </c>
      <c r="M96" s="14" t="str">
        <f t="shared" si="4"/>
        <v>Exited</v>
      </c>
      <c r="N96" s="14" t="str">
        <f t="shared" si="5"/>
        <v>Voluntary</v>
      </c>
      <c r="O96" s="29">
        <f>(IF(H96="",Assumptions!$B$3,H96)-G96)/365.25</f>
        <v>3.6030116358658453</v>
      </c>
      <c r="P96" s="14" t="str">
        <f t="shared" si="6"/>
        <v>Under 25</v>
      </c>
      <c r="Q96" s="14" t="str">
        <f t="shared" si="7"/>
        <v>3 to 5 yrs</v>
      </c>
      <c r="R96" s="30">
        <f>K96/INDEX(Assumptions!$B$9:$B$13,MATCH(E96,Assumptions!$A$9:$A$13,0))</f>
        <v>0.83714285714285719</v>
      </c>
    </row>
    <row r="97" spans="1:18" x14ac:dyDescent="0.35">
      <c r="A97" s="26" t="s">
        <v>280</v>
      </c>
      <c r="B97" s="26" t="s">
        <v>281</v>
      </c>
      <c r="C97" s="26" t="s">
        <v>21</v>
      </c>
      <c r="D97" s="26" t="s">
        <v>30</v>
      </c>
      <c r="E97" s="26" t="s">
        <v>59</v>
      </c>
      <c r="F97" s="26" t="s">
        <v>65</v>
      </c>
      <c r="G97" s="27">
        <v>44653</v>
      </c>
      <c r="H97" s="27">
        <v>46001</v>
      </c>
      <c r="I97" s="26" t="s">
        <v>176</v>
      </c>
      <c r="J97" s="26">
        <v>29</v>
      </c>
      <c r="K97" s="28">
        <v>520000</v>
      </c>
      <c r="L97" s="26">
        <v>4</v>
      </c>
      <c r="M97" s="14" t="str">
        <f t="shared" si="4"/>
        <v>Exited</v>
      </c>
      <c r="N97" s="14" t="str">
        <f t="shared" si="5"/>
        <v>Voluntary</v>
      </c>
      <c r="O97" s="29">
        <f>(IF(H97="",Assumptions!$B$3,H97)-G97)/365.25</f>
        <v>3.6906228610540723</v>
      </c>
      <c r="P97" s="14" t="str">
        <f t="shared" si="6"/>
        <v>25 to 34</v>
      </c>
      <c r="Q97" s="14" t="str">
        <f t="shared" si="7"/>
        <v>3 to 5 yrs</v>
      </c>
      <c r="R97" s="30">
        <f>K97/INDEX(Assumptions!$B$9:$B$13,MATCH(E97,Assumptions!$A$9:$A$13,0))</f>
        <v>0.94545454545454544</v>
      </c>
    </row>
    <row r="98" spans="1:18" x14ac:dyDescent="0.35">
      <c r="A98" s="26" t="s">
        <v>282</v>
      </c>
      <c r="B98" s="26" t="s">
        <v>163</v>
      </c>
      <c r="C98" s="26" t="s">
        <v>21</v>
      </c>
      <c r="D98" s="26" t="s">
        <v>29</v>
      </c>
      <c r="E98" s="26" t="s">
        <v>62</v>
      </c>
      <c r="F98" s="26" t="s">
        <v>65</v>
      </c>
      <c r="G98" s="27">
        <v>44657</v>
      </c>
      <c r="H98" s="27"/>
      <c r="I98" s="26"/>
      <c r="J98" s="26">
        <v>45</v>
      </c>
      <c r="K98" s="28">
        <v>3202000</v>
      </c>
      <c r="L98" s="26">
        <v>5</v>
      </c>
      <c r="M98" s="14" t="str">
        <f t="shared" si="4"/>
        <v>Active</v>
      </c>
      <c r="N98" s="14" t="str">
        <f t="shared" si="5"/>
        <v/>
      </c>
      <c r="O98" s="29">
        <f>(IF(H98="",Assumptions!$B$3,H98)-G98)/365.25</f>
        <v>4.4845995893223822</v>
      </c>
      <c r="P98" s="14" t="str">
        <f t="shared" si="6"/>
        <v>45 to 54</v>
      </c>
      <c r="Q98" s="14" t="str">
        <f t="shared" si="7"/>
        <v>3 to 5 yrs</v>
      </c>
      <c r="R98" s="30">
        <f>K98/INDEX(Assumptions!$B$9:$B$13,MATCH(E98,Assumptions!$A$9:$A$13,0))</f>
        <v>1.0673333333333332</v>
      </c>
    </row>
    <row r="99" spans="1:18" x14ac:dyDescent="0.35">
      <c r="A99" s="26" t="s">
        <v>283</v>
      </c>
      <c r="B99" s="26" t="s">
        <v>284</v>
      </c>
      <c r="C99" s="26" t="s">
        <v>20</v>
      </c>
      <c r="D99" s="26" t="s">
        <v>30</v>
      </c>
      <c r="E99" s="26" t="s">
        <v>58</v>
      </c>
      <c r="F99" s="26" t="s">
        <v>65</v>
      </c>
      <c r="G99" s="27">
        <v>44668</v>
      </c>
      <c r="H99" s="27"/>
      <c r="I99" s="26"/>
      <c r="J99" s="26">
        <v>25</v>
      </c>
      <c r="K99" s="28">
        <v>270000</v>
      </c>
      <c r="L99" s="26">
        <v>4</v>
      </c>
      <c r="M99" s="14" t="str">
        <f t="shared" si="4"/>
        <v>Active</v>
      </c>
      <c r="N99" s="14" t="str">
        <f t="shared" si="5"/>
        <v/>
      </c>
      <c r="O99" s="29">
        <f>(IF(H99="",Assumptions!$B$3,H99)-G99)/365.25</f>
        <v>4.4544832306639286</v>
      </c>
      <c r="P99" s="14" t="str">
        <f t="shared" si="6"/>
        <v>25 to 34</v>
      </c>
      <c r="Q99" s="14" t="str">
        <f t="shared" si="7"/>
        <v>3 to 5 yrs</v>
      </c>
      <c r="R99" s="30">
        <f>K99/INDEX(Assumptions!$B$9:$B$13,MATCH(E99,Assumptions!$A$9:$A$13,0))</f>
        <v>0.77142857142857146</v>
      </c>
    </row>
    <row r="100" spans="1:18" x14ac:dyDescent="0.35">
      <c r="A100" s="26" t="s">
        <v>285</v>
      </c>
      <c r="B100" s="26" t="s">
        <v>286</v>
      </c>
      <c r="C100" s="26" t="s">
        <v>21</v>
      </c>
      <c r="D100" s="26" t="s">
        <v>30</v>
      </c>
      <c r="E100" s="26" t="s">
        <v>59</v>
      </c>
      <c r="F100" s="26" t="s">
        <v>68</v>
      </c>
      <c r="G100" s="27">
        <v>44714</v>
      </c>
      <c r="H100" s="27"/>
      <c r="I100" s="26"/>
      <c r="J100" s="26">
        <v>28</v>
      </c>
      <c r="K100" s="28">
        <v>527000</v>
      </c>
      <c r="L100" s="26">
        <v>3</v>
      </c>
      <c r="M100" s="14" t="str">
        <f t="shared" si="4"/>
        <v>Active</v>
      </c>
      <c r="N100" s="14" t="str">
        <f t="shared" si="5"/>
        <v/>
      </c>
      <c r="O100" s="29">
        <f>(IF(H100="",Assumptions!$B$3,H100)-G100)/365.25</f>
        <v>4.3285420944558526</v>
      </c>
      <c r="P100" s="14" t="str">
        <f t="shared" si="6"/>
        <v>25 to 34</v>
      </c>
      <c r="Q100" s="14" t="str">
        <f t="shared" si="7"/>
        <v>3 to 5 yrs</v>
      </c>
      <c r="R100" s="30">
        <f>K100/INDEX(Assumptions!$B$9:$B$13,MATCH(E100,Assumptions!$A$9:$A$13,0))</f>
        <v>0.95818181818181813</v>
      </c>
    </row>
    <row r="101" spans="1:18" x14ac:dyDescent="0.35">
      <c r="A101" s="26" t="s">
        <v>287</v>
      </c>
      <c r="B101" s="26" t="s">
        <v>288</v>
      </c>
      <c r="C101" s="26" t="s">
        <v>21</v>
      </c>
      <c r="D101" s="26" t="s">
        <v>31</v>
      </c>
      <c r="E101" s="26" t="s">
        <v>59</v>
      </c>
      <c r="F101" s="26" t="s">
        <v>68</v>
      </c>
      <c r="G101" s="27">
        <v>44723</v>
      </c>
      <c r="H101" s="27"/>
      <c r="I101" s="26"/>
      <c r="J101" s="26">
        <v>28</v>
      </c>
      <c r="K101" s="28">
        <v>575000</v>
      </c>
      <c r="L101" s="26">
        <v>1</v>
      </c>
      <c r="M101" s="14" t="str">
        <f t="shared" si="4"/>
        <v>Active</v>
      </c>
      <c r="N101" s="14" t="str">
        <f t="shared" si="5"/>
        <v/>
      </c>
      <c r="O101" s="29">
        <f>(IF(H101="",Assumptions!$B$3,H101)-G101)/365.25</f>
        <v>4.3039014373716631</v>
      </c>
      <c r="P101" s="14" t="str">
        <f t="shared" si="6"/>
        <v>25 to 34</v>
      </c>
      <c r="Q101" s="14" t="str">
        <f t="shared" si="7"/>
        <v>3 to 5 yrs</v>
      </c>
      <c r="R101" s="30">
        <f>K101/INDEX(Assumptions!$B$9:$B$13,MATCH(E101,Assumptions!$A$9:$A$13,0))</f>
        <v>1.0454545454545454</v>
      </c>
    </row>
    <row r="102" spans="1:18" x14ac:dyDescent="0.35">
      <c r="A102" s="26" t="s">
        <v>289</v>
      </c>
      <c r="B102" s="26" t="s">
        <v>290</v>
      </c>
      <c r="C102" s="26" t="s">
        <v>20</v>
      </c>
      <c r="D102" s="26" t="s">
        <v>33</v>
      </c>
      <c r="E102" s="26" t="s">
        <v>58</v>
      </c>
      <c r="F102" s="26" t="s">
        <v>68</v>
      </c>
      <c r="G102" s="27">
        <v>44732</v>
      </c>
      <c r="H102" s="27"/>
      <c r="I102" s="26"/>
      <c r="J102" s="26">
        <v>25</v>
      </c>
      <c r="K102" s="28">
        <v>384000</v>
      </c>
      <c r="L102" s="26">
        <v>4</v>
      </c>
      <c r="M102" s="14" t="str">
        <f t="shared" si="4"/>
        <v>Active</v>
      </c>
      <c r="N102" s="14" t="str">
        <f t="shared" si="5"/>
        <v/>
      </c>
      <c r="O102" s="29">
        <f>(IF(H102="",Assumptions!$B$3,H102)-G102)/365.25</f>
        <v>4.2792607802874745</v>
      </c>
      <c r="P102" s="14" t="str">
        <f t="shared" si="6"/>
        <v>25 to 34</v>
      </c>
      <c r="Q102" s="14" t="str">
        <f t="shared" si="7"/>
        <v>3 to 5 yrs</v>
      </c>
      <c r="R102" s="30">
        <f>K102/INDEX(Assumptions!$B$9:$B$13,MATCH(E102,Assumptions!$A$9:$A$13,0))</f>
        <v>1.0971428571428572</v>
      </c>
    </row>
    <row r="103" spans="1:18" x14ac:dyDescent="0.35">
      <c r="A103" s="26" t="s">
        <v>291</v>
      </c>
      <c r="B103" s="26" t="s">
        <v>292</v>
      </c>
      <c r="C103" s="26" t="s">
        <v>21</v>
      </c>
      <c r="D103" s="26" t="s">
        <v>31</v>
      </c>
      <c r="E103" s="26" t="s">
        <v>58</v>
      </c>
      <c r="F103" s="26" t="s">
        <v>65</v>
      </c>
      <c r="G103" s="27">
        <v>44740</v>
      </c>
      <c r="H103" s="27"/>
      <c r="I103" s="26"/>
      <c r="J103" s="26">
        <v>26</v>
      </c>
      <c r="K103" s="28">
        <v>440000</v>
      </c>
      <c r="L103" s="26">
        <v>3</v>
      </c>
      <c r="M103" s="14" t="str">
        <f t="shared" si="4"/>
        <v>Active</v>
      </c>
      <c r="N103" s="14" t="str">
        <f t="shared" si="5"/>
        <v/>
      </c>
      <c r="O103" s="29">
        <f>(IF(H103="",Assumptions!$B$3,H103)-G103)/365.25</f>
        <v>4.2573579739904179</v>
      </c>
      <c r="P103" s="14" t="str">
        <f t="shared" si="6"/>
        <v>25 to 34</v>
      </c>
      <c r="Q103" s="14" t="str">
        <f t="shared" si="7"/>
        <v>3 to 5 yrs</v>
      </c>
      <c r="R103" s="30">
        <f>K103/INDEX(Assumptions!$B$9:$B$13,MATCH(E103,Assumptions!$A$9:$A$13,0))</f>
        <v>1.2571428571428571</v>
      </c>
    </row>
    <row r="104" spans="1:18" x14ac:dyDescent="0.35">
      <c r="A104" s="26" t="s">
        <v>293</v>
      </c>
      <c r="B104" s="26" t="s">
        <v>294</v>
      </c>
      <c r="C104" s="26" t="s">
        <v>20</v>
      </c>
      <c r="D104" s="26" t="s">
        <v>33</v>
      </c>
      <c r="E104" s="26" t="s">
        <v>59</v>
      </c>
      <c r="F104" s="26" t="s">
        <v>68</v>
      </c>
      <c r="G104" s="27">
        <v>44758</v>
      </c>
      <c r="H104" s="27"/>
      <c r="I104" s="26"/>
      <c r="J104" s="26">
        <v>28</v>
      </c>
      <c r="K104" s="28">
        <v>592000</v>
      </c>
      <c r="L104" s="26">
        <v>3</v>
      </c>
      <c r="M104" s="14" t="str">
        <f t="shared" si="4"/>
        <v>Active</v>
      </c>
      <c r="N104" s="14" t="str">
        <f t="shared" si="5"/>
        <v/>
      </c>
      <c r="O104" s="29">
        <f>(IF(H104="",Assumptions!$B$3,H104)-G104)/365.25</f>
        <v>4.2080766598220398</v>
      </c>
      <c r="P104" s="14" t="str">
        <f t="shared" si="6"/>
        <v>25 to 34</v>
      </c>
      <c r="Q104" s="14" t="str">
        <f t="shared" si="7"/>
        <v>3 to 5 yrs</v>
      </c>
      <c r="R104" s="30">
        <f>K104/INDEX(Assumptions!$B$9:$B$13,MATCH(E104,Assumptions!$A$9:$A$13,0))</f>
        <v>1.0763636363636364</v>
      </c>
    </row>
    <row r="105" spans="1:18" x14ac:dyDescent="0.35">
      <c r="A105" s="26" t="s">
        <v>295</v>
      </c>
      <c r="B105" s="26" t="s">
        <v>296</v>
      </c>
      <c r="C105" s="26" t="s">
        <v>20</v>
      </c>
      <c r="D105" s="26" t="s">
        <v>29</v>
      </c>
      <c r="E105" s="26" t="s">
        <v>58</v>
      </c>
      <c r="F105" s="26" t="s">
        <v>69</v>
      </c>
      <c r="G105" s="27">
        <v>44759</v>
      </c>
      <c r="H105" s="27">
        <v>45934</v>
      </c>
      <c r="I105" s="26" t="s">
        <v>147</v>
      </c>
      <c r="J105" s="26">
        <v>23</v>
      </c>
      <c r="K105" s="28">
        <v>310000</v>
      </c>
      <c r="L105" s="26">
        <v>3</v>
      </c>
      <c r="M105" s="14" t="str">
        <f t="shared" si="4"/>
        <v>Exited</v>
      </c>
      <c r="N105" s="14" t="str">
        <f t="shared" si="5"/>
        <v>Voluntary</v>
      </c>
      <c r="O105" s="29">
        <f>(IF(H105="",Assumptions!$B$3,H105)-G105)/365.25</f>
        <v>3.2169746748802188</v>
      </c>
      <c r="P105" s="14" t="str">
        <f t="shared" si="6"/>
        <v>Under 25</v>
      </c>
      <c r="Q105" s="14" t="str">
        <f t="shared" si="7"/>
        <v>3 to 5 yrs</v>
      </c>
      <c r="R105" s="30">
        <f>K105/INDEX(Assumptions!$B$9:$B$13,MATCH(E105,Assumptions!$A$9:$A$13,0))</f>
        <v>0.88571428571428568</v>
      </c>
    </row>
    <row r="106" spans="1:18" x14ac:dyDescent="0.35">
      <c r="A106" s="26" t="s">
        <v>297</v>
      </c>
      <c r="B106" s="26" t="s">
        <v>171</v>
      </c>
      <c r="C106" s="26" t="s">
        <v>21</v>
      </c>
      <c r="D106" s="26" t="s">
        <v>30</v>
      </c>
      <c r="E106" s="26" t="s">
        <v>58</v>
      </c>
      <c r="F106" s="26" t="s">
        <v>66</v>
      </c>
      <c r="G106" s="27">
        <v>44776</v>
      </c>
      <c r="H106" s="27"/>
      <c r="I106" s="26"/>
      <c r="J106" s="26">
        <v>26</v>
      </c>
      <c r="K106" s="28">
        <v>297000</v>
      </c>
      <c r="L106" s="26">
        <v>2</v>
      </c>
      <c r="M106" s="14" t="str">
        <f t="shared" si="4"/>
        <v>Active</v>
      </c>
      <c r="N106" s="14" t="str">
        <f t="shared" si="5"/>
        <v/>
      </c>
      <c r="O106" s="29">
        <f>(IF(H106="",Assumptions!$B$3,H106)-G106)/365.25</f>
        <v>4.1587953456536617</v>
      </c>
      <c r="P106" s="14" t="str">
        <f t="shared" si="6"/>
        <v>25 to 34</v>
      </c>
      <c r="Q106" s="14" t="str">
        <f t="shared" si="7"/>
        <v>3 to 5 yrs</v>
      </c>
      <c r="R106" s="30">
        <f>K106/INDEX(Assumptions!$B$9:$B$13,MATCH(E106,Assumptions!$A$9:$A$13,0))</f>
        <v>0.84857142857142853</v>
      </c>
    </row>
    <row r="107" spans="1:18" x14ac:dyDescent="0.35">
      <c r="A107" s="26" t="s">
        <v>298</v>
      </c>
      <c r="B107" s="26" t="s">
        <v>299</v>
      </c>
      <c r="C107" s="26" t="s">
        <v>20</v>
      </c>
      <c r="D107" s="26" t="s">
        <v>30</v>
      </c>
      <c r="E107" s="26" t="s">
        <v>60</v>
      </c>
      <c r="F107" s="26" t="s">
        <v>67</v>
      </c>
      <c r="G107" s="27">
        <v>44778</v>
      </c>
      <c r="H107" s="27"/>
      <c r="I107" s="26"/>
      <c r="J107" s="26">
        <v>36</v>
      </c>
      <c r="K107" s="28">
        <v>725000</v>
      </c>
      <c r="L107" s="26">
        <v>4</v>
      </c>
      <c r="M107" s="14" t="str">
        <f t="shared" si="4"/>
        <v>Active</v>
      </c>
      <c r="N107" s="14" t="str">
        <f t="shared" si="5"/>
        <v/>
      </c>
      <c r="O107" s="29">
        <f>(IF(H107="",Assumptions!$B$3,H107)-G107)/365.25</f>
        <v>4.1533196440793976</v>
      </c>
      <c r="P107" s="14" t="str">
        <f t="shared" si="6"/>
        <v>35 to 44</v>
      </c>
      <c r="Q107" s="14" t="str">
        <f t="shared" si="7"/>
        <v>3 to 5 yrs</v>
      </c>
      <c r="R107" s="30">
        <f>K107/INDEX(Assumptions!$B$9:$B$13,MATCH(E107,Assumptions!$A$9:$A$13,0))</f>
        <v>0.76315789473684215</v>
      </c>
    </row>
    <row r="108" spans="1:18" x14ac:dyDescent="0.35">
      <c r="A108" s="26" t="s">
        <v>300</v>
      </c>
      <c r="B108" s="26" t="s">
        <v>301</v>
      </c>
      <c r="C108" s="26" t="s">
        <v>21</v>
      </c>
      <c r="D108" s="26" t="s">
        <v>29</v>
      </c>
      <c r="E108" s="26" t="s">
        <v>58</v>
      </c>
      <c r="F108" s="26" t="s">
        <v>66</v>
      </c>
      <c r="G108" s="27">
        <v>44813</v>
      </c>
      <c r="H108" s="27"/>
      <c r="I108" s="26"/>
      <c r="J108" s="26">
        <v>25</v>
      </c>
      <c r="K108" s="28">
        <v>393000</v>
      </c>
      <c r="L108" s="26">
        <v>3</v>
      </c>
      <c r="M108" s="14" t="str">
        <f t="shared" si="4"/>
        <v>Active</v>
      </c>
      <c r="N108" s="14" t="str">
        <f t="shared" si="5"/>
        <v/>
      </c>
      <c r="O108" s="29">
        <f>(IF(H108="",Assumptions!$B$3,H108)-G108)/365.25</f>
        <v>4.0574948665297743</v>
      </c>
      <c r="P108" s="14" t="str">
        <f t="shared" si="6"/>
        <v>25 to 34</v>
      </c>
      <c r="Q108" s="14" t="str">
        <f t="shared" si="7"/>
        <v>3 to 5 yrs</v>
      </c>
      <c r="R108" s="30">
        <f>K108/INDEX(Assumptions!$B$9:$B$13,MATCH(E108,Assumptions!$A$9:$A$13,0))</f>
        <v>1.1228571428571428</v>
      </c>
    </row>
    <row r="109" spans="1:18" x14ac:dyDescent="0.35">
      <c r="A109" s="26" t="s">
        <v>302</v>
      </c>
      <c r="B109" s="26" t="s">
        <v>303</v>
      </c>
      <c r="C109" s="26" t="s">
        <v>20</v>
      </c>
      <c r="D109" s="26" t="s">
        <v>35</v>
      </c>
      <c r="E109" s="26" t="s">
        <v>58</v>
      </c>
      <c r="F109" s="26" t="s">
        <v>65</v>
      </c>
      <c r="G109" s="27">
        <v>44823</v>
      </c>
      <c r="H109" s="27"/>
      <c r="I109" s="26"/>
      <c r="J109" s="26">
        <v>26</v>
      </c>
      <c r="K109" s="28">
        <v>373000</v>
      </c>
      <c r="L109" s="26">
        <v>3</v>
      </c>
      <c r="M109" s="14" t="str">
        <f t="shared" si="4"/>
        <v>Active</v>
      </c>
      <c r="N109" s="14" t="str">
        <f t="shared" si="5"/>
        <v/>
      </c>
      <c r="O109" s="29">
        <f>(IF(H109="",Assumptions!$B$3,H109)-G109)/365.25</f>
        <v>4.0301163586584527</v>
      </c>
      <c r="P109" s="14" t="str">
        <f t="shared" si="6"/>
        <v>25 to 34</v>
      </c>
      <c r="Q109" s="14" t="str">
        <f t="shared" si="7"/>
        <v>3 to 5 yrs</v>
      </c>
      <c r="R109" s="30">
        <f>K109/INDEX(Assumptions!$B$9:$B$13,MATCH(E109,Assumptions!$A$9:$A$13,0))</f>
        <v>1.0657142857142856</v>
      </c>
    </row>
    <row r="110" spans="1:18" x14ac:dyDescent="0.35">
      <c r="A110" s="26" t="s">
        <v>304</v>
      </c>
      <c r="B110" s="26" t="s">
        <v>305</v>
      </c>
      <c r="C110" s="26" t="s">
        <v>21</v>
      </c>
      <c r="D110" s="26" t="s">
        <v>30</v>
      </c>
      <c r="E110" s="26" t="s">
        <v>58</v>
      </c>
      <c r="F110" s="26" t="s">
        <v>66</v>
      </c>
      <c r="G110" s="27">
        <v>44850</v>
      </c>
      <c r="H110" s="27"/>
      <c r="I110" s="26"/>
      <c r="J110" s="26">
        <v>25</v>
      </c>
      <c r="K110" s="28">
        <v>308000</v>
      </c>
      <c r="L110" s="26">
        <v>4</v>
      </c>
      <c r="M110" s="14" t="str">
        <f t="shared" si="4"/>
        <v>Active</v>
      </c>
      <c r="N110" s="14" t="str">
        <f t="shared" si="5"/>
        <v/>
      </c>
      <c r="O110" s="29">
        <f>(IF(H110="",Assumptions!$B$3,H110)-G110)/365.25</f>
        <v>3.9561943874058865</v>
      </c>
      <c r="P110" s="14" t="str">
        <f t="shared" si="6"/>
        <v>25 to 34</v>
      </c>
      <c r="Q110" s="14" t="str">
        <f t="shared" si="7"/>
        <v>3 to 5 yrs</v>
      </c>
      <c r="R110" s="30">
        <f>K110/INDEX(Assumptions!$B$9:$B$13,MATCH(E110,Assumptions!$A$9:$A$13,0))</f>
        <v>0.88</v>
      </c>
    </row>
    <row r="111" spans="1:18" x14ac:dyDescent="0.35">
      <c r="A111" s="26" t="s">
        <v>306</v>
      </c>
      <c r="B111" s="26" t="s">
        <v>307</v>
      </c>
      <c r="C111" s="26" t="s">
        <v>21</v>
      </c>
      <c r="D111" s="26" t="s">
        <v>32</v>
      </c>
      <c r="E111" s="26" t="s">
        <v>59</v>
      </c>
      <c r="F111" s="26" t="s">
        <v>67</v>
      </c>
      <c r="G111" s="27">
        <v>44872</v>
      </c>
      <c r="H111" s="27"/>
      <c r="I111" s="26"/>
      <c r="J111" s="26">
        <v>26</v>
      </c>
      <c r="K111" s="28">
        <v>485000</v>
      </c>
      <c r="L111" s="26">
        <v>3</v>
      </c>
      <c r="M111" s="14" t="str">
        <f t="shared" si="4"/>
        <v>Active</v>
      </c>
      <c r="N111" s="14" t="str">
        <f t="shared" si="5"/>
        <v/>
      </c>
      <c r="O111" s="29">
        <f>(IF(H111="",Assumptions!$B$3,H111)-G111)/365.25</f>
        <v>3.8959616700889801</v>
      </c>
      <c r="P111" s="14" t="str">
        <f t="shared" si="6"/>
        <v>25 to 34</v>
      </c>
      <c r="Q111" s="14" t="str">
        <f t="shared" si="7"/>
        <v>3 to 5 yrs</v>
      </c>
      <c r="R111" s="30">
        <f>K111/INDEX(Assumptions!$B$9:$B$13,MATCH(E111,Assumptions!$A$9:$A$13,0))</f>
        <v>0.88181818181818183</v>
      </c>
    </row>
    <row r="112" spans="1:18" x14ac:dyDescent="0.35">
      <c r="A112" s="26" t="s">
        <v>308</v>
      </c>
      <c r="B112" s="26" t="s">
        <v>309</v>
      </c>
      <c r="C112" s="26" t="s">
        <v>21</v>
      </c>
      <c r="D112" s="26" t="s">
        <v>29</v>
      </c>
      <c r="E112" s="26" t="s">
        <v>61</v>
      </c>
      <c r="F112" s="26" t="s">
        <v>69</v>
      </c>
      <c r="G112" s="27">
        <v>44877</v>
      </c>
      <c r="H112" s="27"/>
      <c r="I112" s="26"/>
      <c r="J112" s="26">
        <v>40</v>
      </c>
      <c r="K112" s="28">
        <v>1491000</v>
      </c>
      <c r="L112" s="26">
        <v>3</v>
      </c>
      <c r="M112" s="14" t="str">
        <f t="shared" si="4"/>
        <v>Active</v>
      </c>
      <c r="N112" s="14" t="str">
        <f t="shared" si="5"/>
        <v/>
      </c>
      <c r="O112" s="29">
        <f>(IF(H112="",Assumptions!$B$3,H112)-G112)/365.25</f>
        <v>3.8822724161533197</v>
      </c>
      <c r="P112" s="14" t="str">
        <f t="shared" si="6"/>
        <v>35 to 44</v>
      </c>
      <c r="Q112" s="14" t="str">
        <f t="shared" si="7"/>
        <v>3 to 5 yrs</v>
      </c>
      <c r="R112" s="30">
        <f>K112/INDEX(Assumptions!$B$9:$B$13,MATCH(E112,Assumptions!$A$9:$A$13,0))</f>
        <v>0.90363636363636368</v>
      </c>
    </row>
    <row r="113" spans="1:18" x14ac:dyDescent="0.35">
      <c r="A113" s="26" t="s">
        <v>310</v>
      </c>
      <c r="B113" s="26" t="s">
        <v>311</v>
      </c>
      <c r="C113" s="26" t="s">
        <v>20</v>
      </c>
      <c r="D113" s="26" t="s">
        <v>35</v>
      </c>
      <c r="E113" s="26" t="s">
        <v>60</v>
      </c>
      <c r="F113" s="26" t="s">
        <v>66</v>
      </c>
      <c r="G113" s="27">
        <v>44880</v>
      </c>
      <c r="H113" s="27">
        <v>46113</v>
      </c>
      <c r="I113" s="26" t="s">
        <v>214</v>
      </c>
      <c r="J113" s="26">
        <v>31</v>
      </c>
      <c r="K113" s="28">
        <v>963000</v>
      </c>
      <c r="L113" s="26">
        <v>2</v>
      </c>
      <c r="M113" s="14" t="str">
        <f t="shared" si="4"/>
        <v>Exited</v>
      </c>
      <c r="N113" s="14" t="str">
        <f t="shared" si="5"/>
        <v>Voluntary</v>
      </c>
      <c r="O113" s="29">
        <f>(IF(H113="",Assumptions!$B$3,H113)-G113)/365.25</f>
        <v>3.375770020533881</v>
      </c>
      <c r="P113" s="14" t="str">
        <f t="shared" si="6"/>
        <v>25 to 34</v>
      </c>
      <c r="Q113" s="14" t="str">
        <f t="shared" si="7"/>
        <v>3 to 5 yrs</v>
      </c>
      <c r="R113" s="30">
        <f>K113/INDEX(Assumptions!$B$9:$B$13,MATCH(E113,Assumptions!$A$9:$A$13,0))</f>
        <v>1.0136842105263157</v>
      </c>
    </row>
    <row r="114" spans="1:18" x14ac:dyDescent="0.35">
      <c r="A114" s="26" t="s">
        <v>312</v>
      </c>
      <c r="B114" s="26" t="s">
        <v>313</v>
      </c>
      <c r="C114" s="26" t="s">
        <v>20</v>
      </c>
      <c r="D114" s="26" t="s">
        <v>35</v>
      </c>
      <c r="E114" s="26" t="s">
        <v>58</v>
      </c>
      <c r="F114" s="26" t="s">
        <v>65</v>
      </c>
      <c r="G114" s="27">
        <v>44893</v>
      </c>
      <c r="H114" s="27"/>
      <c r="I114" s="26"/>
      <c r="J114" s="26">
        <v>23</v>
      </c>
      <c r="K114" s="28">
        <v>325000</v>
      </c>
      <c r="L114" s="26">
        <v>2</v>
      </c>
      <c r="M114" s="14" t="str">
        <f t="shared" si="4"/>
        <v>Active</v>
      </c>
      <c r="N114" s="14" t="str">
        <f t="shared" si="5"/>
        <v/>
      </c>
      <c r="O114" s="29">
        <f>(IF(H114="",Assumptions!$B$3,H114)-G114)/365.25</f>
        <v>3.8384668035592062</v>
      </c>
      <c r="P114" s="14" t="str">
        <f t="shared" si="6"/>
        <v>Under 25</v>
      </c>
      <c r="Q114" s="14" t="str">
        <f t="shared" si="7"/>
        <v>3 to 5 yrs</v>
      </c>
      <c r="R114" s="30">
        <f>K114/INDEX(Assumptions!$B$9:$B$13,MATCH(E114,Assumptions!$A$9:$A$13,0))</f>
        <v>0.9285714285714286</v>
      </c>
    </row>
    <row r="115" spans="1:18" x14ac:dyDescent="0.35">
      <c r="A115" s="26" t="s">
        <v>314</v>
      </c>
      <c r="B115" s="26" t="s">
        <v>315</v>
      </c>
      <c r="C115" s="26" t="s">
        <v>20</v>
      </c>
      <c r="D115" s="26" t="s">
        <v>35</v>
      </c>
      <c r="E115" s="26" t="s">
        <v>60</v>
      </c>
      <c r="F115" s="26" t="s">
        <v>66</v>
      </c>
      <c r="G115" s="27">
        <v>44906</v>
      </c>
      <c r="H115" s="27">
        <v>46027</v>
      </c>
      <c r="I115" s="26" t="s">
        <v>191</v>
      </c>
      <c r="J115" s="26">
        <v>35</v>
      </c>
      <c r="K115" s="28">
        <v>1022000</v>
      </c>
      <c r="L115" s="26">
        <v>2</v>
      </c>
      <c r="M115" s="14" t="str">
        <f t="shared" si="4"/>
        <v>Exited</v>
      </c>
      <c r="N115" s="14" t="str">
        <f t="shared" si="5"/>
        <v>Involuntary</v>
      </c>
      <c r="O115" s="29">
        <f>(IF(H115="",Assumptions!$B$3,H115)-G115)/365.25</f>
        <v>3.0691307323750854</v>
      </c>
      <c r="P115" s="14" t="str">
        <f t="shared" si="6"/>
        <v>35 to 44</v>
      </c>
      <c r="Q115" s="14" t="str">
        <f t="shared" si="7"/>
        <v>3 to 5 yrs</v>
      </c>
      <c r="R115" s="30">
        <f>K115/INDEX(Assumptions!$B$9:$B$13,MATCH(E115,Assumptions!$A$9:$A$13,0))</f>
        <v>1.0757894736842106</v>
      </c>
    </row>
    <row r="116" spans="1:18" x14ac:dyDescent="0.35">
      <c r="A116" s="26" t="s">
        <v>316</v>
      </c>
      <c r="B116" s="26" t="s">
        <v>317</v>
      </c>
      <c r="C116" s="26" t="s">
        <v>21</v>
      </c>
      <c r="D116" s="26" t="s">
        <v>35</v>
      </c>
      <c r="E116" s="26" t="s">
        <v>59</v>
      </c>
      <c r="F116" s="26" t="s">
        <v>67</v>
      </c>
      <c r="G116" s="27">
        <v>44907</v>
      </c>
      <c r="H116" s="27"/>
      <c r="I116" s="26"/>
      <c r="J116" s="26">
        <v>26</v>
      </c>
      <c r="K116" s="28">
        <v>558000</v>
      </c>
      <c r="L116" s="26">
        <v>4</v>
      </c>
      <c r="M116" s="14" t="str">
        <f t="shared" si="4"/>
        <v>Active</v>
      </c>
      <c r="N116" s="14" t="str">
        <f t="shared" si="5"/>
        <v/>
      </c>
      <c r="O116" s="29">
        <f>(IF(H116="",Assumptions!$B$3,H116)-G116)/365.25</f>
        <v>3.8001368925393568</v>
      </c>
      <c r="P116" s="14" t="str">
        <f t="shared" si="6"/>
        <v>25 to 34</v>
      </c>
      <c r="Q116" s="14" t="str">
        <f t="shared" si="7"/>
        <v>3 to 5 yrs</v>
      </c>
      <c r="R116" s="30">
        <f>K116/INDEX(Assumptions!$B$9:$B$13,MATCH(E116,Assumptions!$A$9:$A$13,0))</f>
        <v>1.0145454545454546</v>
      </c>
    </row>
    <row r="117" spans="1:18" x14ac:dyDescent="0.35">
      <c r="A117" s="26" t="s">
        <v>318</v>
      </c>
      <c r="B117" s="26" t="s">
        <v>313</v>
      </c>
      <c r="C117" s="26" t="s">
        <v>20</v>
      </c>
      <c r="D117" s="26" t="s">
        <v>30</v>
      </c>
      <c r="E117" s="26" t="s">
        <v>58</v>
      </c>
      <c r="F117" s="26" t="s">
        <v>65</v>
      </c>
      <c r="G117" s="27">
        <v>44916</v>
      </c>
      <c r="H117" s="27">
        <v>45963</v>
      </c>
      <c r="I117" s="26" t="s">
        <v>147</v>
      </c>
      <c r="J117" s="26">
        <v>24</v>
      </c>
      <c r="K117" s="28">
        <v>274000</v>
      </c>
      <c r="L117" s="26">
        <v>3</v>
      </c>
      <c r="M117" s="14" t="str">
        <f t="shared" si="4"/>
        <v>Exited</v>
      </c>
      <c r="N117" s="14" t="str">
        <f t="shared" si="5"/>
        <v>Voluntary</v>
      </c>
      <c r="O117" s="29">
        <f>(IF(H117="",Assumptions!$B$3,H117)-G117)/365.25</f>
        <v>2.8665297741273101</v>
      </c>
      <c r="P117" s="14" t="str">
        <f t="shared" si="6"/>
        <v>Under 25</v>
      </c>
      <c r="Q117" s="14" t="str">
        <f t="shared" si="7"/>
        <v>1 to 3 yrs</v>
      </c>
      <c r="R117" s="30">
        <f>K117/INDEX(Assumptions!$B$9:$B$13,MATCH(E117,Assumptions!$A$9:$A$13,0))</f>
        <v>0.78285714285714281</v>
      </c>
    </row>
    <row r="118" spans="1:18" x14ac:dyDescent="0.35">
      <c r="A118" s="26" t="s">
        <v>319</v>
      </c>
      <c r="B118" s="26" t="s">
        <v>320</v>
      </c>
      <c r="C118" s="26" t="s">
        <v>21</v>
      </c>
      <c r="D118" s="26" t="s">
        <v>29</v>
      </c>
      <c r="E118" s="26" t="s">
        <v>58</v>
      </c>
      <c r="F118" s="26" t="s">
        <v>65</v>
      </c>
      <c r="G118" s="27">
        <v>44928</v>
      </c>
      <c r="H118" s="27"/>
      <c r="I118" s="26"/>
      <c r="J118" s="26">
        <v>25</v>
      </c>
      <c r="K118" s="28">
        <v>387000</v>
      </c>
      <c r="L118" s="26">
        <v>3</v>
      </c>
      <c r="M118" s="14" t="str">
        <f t="shared" si="4"/>
        <v>Active</v>
      </c>
      <c r="N118" s="14" t="str">
        <f t="shared" si="5"/>
        <v/>
      </c>
      <c r="O118" s="29">
        <f>(IF(H118="",Assumptions!$B$3,H118)-G118)/365.25</f>
        <v>3.7426420260095825</v>
      </c>
      <c r="P118" s="14" t="str">
        <f t="shared" si="6"/>
        <v>25 to 34</v>
      </c>
      <c r="Q118" s="14" t="str">
        <f t="shared" si="7"/>
        <v>3 to 5 yrs</v>
      </c>
      <c r="R118" s="30">
        <f>K118/INDEX(Assumptions!$B$9:$B$13,MATCH(E118,Assumptions!$A$9:$A$13,0))</f>
        <v>1.1057142857142856</v>
      </c>
    </row>
    <row r="119" spans="1:18" x14ac:dyDescent="0.35">
      <c r="A119" s="26" t="s">
        <v>321</v>
      </c>
      <c r="B119" s="26" t="s">
        <v>322</v>
      </c>
      <c r="C119" s="26" t="s">
        <v>21</v>
      </c>
      <c r="D119" s="26" t="s">
        <v>29</v>
      </c>
      <c r="E119" s="26" t="s">
        <v>60</v>
      </c>
      <c r="F119" s="26" t="s">
        <v>65</v>
      </c>
      <c r="G119" s="27">
        <v>44947</v>
      </c>
      <c r="H119" s="27"/>
      <c r="I119" s="26"/>
      <c r="J119" s="26">
        <v>30</v>
      </c>
      <c r="K119" s="28">
        <v>992000</v>
      </c>
      <c r="L119" s="26">
        <v>5</v>
      </c>
      <c r="M119" s="14" t="str">
        <f t="shared" si="4"/>
        <v>Active</v>
      </c>
      <c r="N119" s="14" t="str">
        <f t="shared" si="5"/>
        <v/>
      </c>
      <c r="O119" s="29">
        <f>(IF(H119="",Assumptions!$B$3,H119)-G119)/365.25</f>
        <v>3.6906228610540723</v>
      </c>
      <c r="P119" s="14" t="str">
        <f t="shared" si="6"/>
        <v>25 to 34</v>
      </c>
      <c r="Q119" s="14" t="str">
        <f t="shared" si="7"/>
        <v>3 to 5 yrs</v>
      </c>
      <c r="R119" s="30">
        <f>K119/INDEX(Assumptions!$B$9:$B$13,MATCH(E119,Assumptions!$A$9:$A$13,0))</f>
        <v>1.0442105263157895</v>
      </c>
    </row>
    <row r="120" spans="1:18" x14ac:dyDescent="0.35">
      <c r="A120" s="26" t="s">
        <v>323</v>
      </c>
      <c r="B120" s="26" t="s">
        <v>324</v>
      </c>
      <c r="C120" s="26" t="s">
        <v>21</v>
      </c>
      <c r="D120" s="26" t="s">
        <v>32</v>
      </c>
      <c r="E120" s="26" t="s">
        <v>59</v>
      </c>
      <c r="F120" s="26" t="s">
        <v>65</v>
      </c>
      <c r="G120" s="27">
        <v>44969</v>
      </c>
      <c r="H120" s="27"/>
      <c r="I120" s="26"/>
      <c r="J120" s="26">
        <v>28</v>
      </c>
      <c r="K120" s="28">
        <v>502000</v>
      </c>
      <c r="L120" s="26">
        <v>5</v>
      </c>
      <c r="M120" s="14" t="str">
        <f t="shared" si="4"/>
        <v>Active</v>
      </c>
      <c r="N120" s="14" t="str">
        <f t="shared" si="5"/>
        <v/>
      </c>
      <c r="O120" s="29">
        <f>(IF(H120="",Assumptions!$B$3,H120)-G120)/365.25</f>
        <v>3.6303901437371664</v>
      </c>
      <c r="P120" s="14" t="str">
        <f t="shared" si="6"/>
        <v>25 to 34</v>
      </c>
      <c r="Q120" s="14" t="str">
        <f t="shared" si="7"/>
        <v>3 to 5 yrs</v>
      </c>
      <c r="R120" s="30">
        <f>K120/INDEX(Assumptions!$B$9:$B$13,MATCH(E120,Assumptions!$A$9:$A$13,0))</f>
        <v>0.91272727272727272</v>
      </c>
    </row>
    <row r="121" spans="1:18" x14ac:dyDescent="0.35">
      <c r="A121" s="26" t="s">
        <v>325</v>
      </c>
      <c r="B121" s="26" t="s">
        <v>326</v>
      </c>
      <c r="C121" s="26" t="s">
        <v>20</v>
      </c>
      <c r="D121" s="26" t="s">
        <v>31</v>
      </c>
      <c r="E121" s="26" t="s">
        <v>58</v>
      </c>
      <c r="F121" s="26" t="s">
        <v>68</v>
      </c>
      <c r="G121" s="27">
        <v>44972</v>
      </c>
      <c r="H121" s="27"/>
      <c r="I121" s="26"/>
      <c r="J121" s="26">
        <v>25</v>
      </c>
      <c r="K121" s="28">
        <v>439000</v>
      </c>
      <c r="L121" s="26">
        <v>3</v>
      </c>
      <c r="M121" s="14" t="str">
        <f t="shared" si="4"/>
        <v>Active</v>
      </c>
      <c r="N121" s="14" t="str">
        <f t="shared" si="5"/>
        <v/>
      </c>
      <c r="O121" s="29">
        <f>(IF(H121="",Assumptions!$B$3,H121)-G121)/365.25</f>
        <v>3.6221765913757702</v>
      </c>
      <c r="P121" s="14" t="str">
        <f t="shared" si="6"/>
        <v>25 to 34</v>
      </c>
      <c r="Q121" s="14" t="str">
        <f t="shared" si="7"/>
        <v>3 to 5 yrs</v>
      </c>
      <c r="R121" s="30">
        <f>K121/INDEX(Assumptions!$B$9:$B$13,MATCH(E121,Assumptions!$A$9:$A$13,0))</f>
        <v>1.2542857142857142</v>
      </c>
    </row>
    <row r="122" spans="1:18" x14ac:dyDescent="0.35">
      <c r="A122" s="26" t="s">
        <v>327</v>
      </c>
      <c r="B122" s="26" t="s">
        <v>328</v>
      </c>
      <c r="C122" s="26" t="s">
        <v>21</v>
      </c>
      <c r="D122" s="26" t="s">
        <v>31</v>
      </c>
      <c r="E122" s="26" t="s">
        <v>58</v>
      </c>
      <c r="F122" s="26" t="s">
        <v>68</v>
      </c>
      <c r="G122" s="27">
        <v>44991</v>
      </c>
      <c r="H122" s="27"/>
      <c r="I122" s="26"/>
      <c r="J122" s="26">
        <v>26</v>
      </c>
      <c r="K122" s="28">
        <v>375000</v>
      </c>
      <c r="L122" s="26">
        <v>4</v>
      </c>
      <c r="M122" s="14" t="str">
        <f t="shared" si="4"/>
        <v>Active</v>
      </c>
      <c r="N122" s="14" t="str">
        <f t="shared" si="5"/>
        <v/>
      </c>
      <c r="O122" s="29">
        <f>(IF(H122="",Assumptions!$B$3,H122)-G122)/365.25</f>
        <v>3.57015742642026</v>
      </c>
      <c r="P122" s="14" t="str">
        <f t="shared" si="6"/>
        <v>25 to 34</v>
      </c>
      <c r="Q122" s="14" t="str">
        <f t="shared" si="7"/>
        <v>3 to 5 yrs</v>
      </c>
      <c r="R122" s="30">
        <f>K122/INDEX(Assumptions!$B$9:$B$13,MATCH(E122,Assumptions!$A$9:$A$13,0))</f>
        <v>1.0714285714285714</v>
      </c>
    </row>
    <row r="123" spans="1:18" x14ac:dyDescent="0.35">
      <c r="A123" s="26" t="s">
        <v>329</v>
      </c>
      <c r="B123" s="26" t="s">
        <v>330</v>
      </c>
      <c r="C123" s="26" t="s">
        <v>20</v>
      </c>
      <c r="D123" s="26" t="s">
        <v>29</v>
      </c>
      <c r="E123" s="26" t="s">
        <v>59</v>
      </c>
      <c r="F123" s="26" t="s">
        <v>67</v>
      </c>
      <c r="G123" s="27">
        <v>44999</v>
      </c>
      <c r="H123" s="27">
        <v>46028</v>
      </c>
      <c r="I123" s="26" t="s">
        <v>191</v>
      </c>
      <c r="J123" s="26">
        <v>25</v>
      </c>
      <c r="K123" s="28">
        <v>566000</v>
      </c>
      <c r="L123" s="26">
        <v>2</v>
      </c>
      <c r="M123" s="14" t="str">
        <f t="shared" si="4"/>
        <v>Exited</v>
      </c>
      <c r="N123" s="14" t="str">
        <f t="shared" si="5"/>
        <v>Involuntary</v>
      </c>
      <c r="O123" s="29">
        <f>(IF(H123="",Assumptions!$B$3,H123)-G123)/365.25</f>
        <v>2.817248459958932</v>
      </c>
      <c r="P123" s="14" t="str">
        <f t="shared" si="6"/>
        <v>25 to 34</v>
      </c>
      <c r="Q123" s="14" t="str">
        <f t="shared" si="7"/>
        <v>1 to 3 yrs</v>
      </c>
      <c r="R123" s="30">
        <f>K123/INDEX(Assumptions!$B$9:$B$13,MATCH(E123,Assumptions!$A$9:$A$13,0))</f>
        <v>1.0290909090909091</v>
      </c>
    </row>
    <row r="124" spans="1:18" x14ac:dyDescent="0.35">
      <c r="A124" s="26" t="s">
        <v>331</v>
      </c>
      <c r="B124" s="26" t="s">
        <v>332</v>
      </c>
      <c r="C124" s="26" t="s">
        <v>21</v>
      </c>
      <c r="D124" s="26" t="s">
        <v>31</v>
      </c>
      <c r="E124" s="26" t="s">
        <v>58</v>
      </c>
      <c r="F124" s="26" t="s">
        <v>66</v>
      </c>
      <c r="G124" s="27">
        <v>45021</v>
      </c>
      <c r="H124" s="27"/>
      <c r="I124" s="26"/>
      <c r="J124" s="26">
        <v>26</v>
      </c>
      <c r="K124" s="28">
        <v>426000</v>
      </c>
      <c r="L124" s="26">
        <v>3</v>
      </c>
      <c r="M124" s="14" t="str">
        <f t="shared" si="4"/>
        <v>Active</v>
      </c>
      <c r="N124" s="14" t="str">
        <f t="shared" si="5"/>
        <v/>
      </c>
      <c r="O124" s="29">
        <f>(IF(H124="",Assumptions!$B$3,H124)-G124)/365.25</f>
        <v>3.4880219028062971</v>
      </c>
      <c r="P124" s="14" t="str">
        <f t="shared" si="6"/>
        <v>25 to 34</v>
      </c>
      <c r="Q124" s="14" t="str">
        <f t="shared" si="7"/>
        <v>3 to 5 yrs</v>
      </c>
      <c r="R124" s="30">
        <f>K124/INDEX(Assumptions!$B$9:$B$13,MATCH(E124,Assumptions!$A$9:$A$13,0))</f>
        <v>1.2171428571428571</v>
      </c>
    </row>
    <row r="125" spans="1:18" x14ac:dyDescent="0.35">
      <c r="A125" s="26" t="s">
        <v>333</v>
      </c>
      <c r="B125" s="26" t="s">
        <v>334</v>
      </c>
      <c r="C125" s="26" t="s">
        <v>20</v>
      </c>
      <c r="D125" s="26" t="s">
        <v>30</v>
      </c>
      <c r="E125" s="26" t="s">
        <v>59</v>
      </c>
      <c r="F125" s="26" t="s">
        <v>66</v>
      </c>
      <c r="G125" s="27">
        <v>45026</v>
      </c>
      <c r="H125" s="27"/>
      <c r="I125" s="26"/>
      <c r="J125" s="26">
        <v>27</v>
      </c>
      <c r="K125" s="28">
        <v>491000</v>
      </c>
      <c r="L125" s="26">
        <v>2</v>
      </c>
      <c r="M125" s="14" t="str">
        <f t="shared" si="4"/>
        <v>Active</v>
      </c>
      <c r="N125" s="14" t="str">
        <f t="shared" si="5"/>
        <v/>
      </c>
      <c r="O125" s="29">
        <f>(IF(H125="",Assumptions!$B$3,H125)-G125)/365.25</f>
        <v>3.4743326488706368</v>
      </c>
      <c r="P125" s="14" t="str">
        <f t="shared" si="6"/>
        <v>25 to 34</v>
      </c>
      <c r="Q125" s="14" t="str">
        <f t="shared" si="7"/>
        <v>3 to 5 yrs</v>
      </c>
      <c r="R125" s="30">
        <f>K125/INDEX(Assumptions!$B$9:$B$13,MATCH(E125,Assumptions!$A$9:$A$13,0))</f>
        <v>0.8927272727272727</v>
      </c>
    </row>
    <row r="126" spans="1:18" x14ac:dyDescent="0.35">
      <c r="A126" s="26" t="s">
        <v>335</v>
      </c>
      <c r="B126" s="26" t="s">
        <v>336</v>
      </c>
      <c r="C126" s="26" t="s">
        <v>20</v>
      </c>
      <c r="D126" s="26" t="s">
        <v>32</v>
      </c>
      <c r="E126" s="26" t="s">
        <v>60</v>
      </c>
      <c r="F126" s="26" t="s">
        <v>66</v>
      </c>
      <c r="G126" s="27">
        <v>45040</v>
      </c>
      <c r="H126" s="27"/>
      <c r="I126" s="26"/>
      <c r="J126" s="26">
        <v>32</v>
      </c>
      <c r="K126" s="28">
        <v>759000</v>
      </c>
      <c r="L126" s="26">
        <v>2</v>
      </c>
      <c r="M126" s="14" t="str">
        <f t="shared" si="4"/>
        <v>Active</v>
      </c>
      <c r="N126" s="14" t="str">
        <f t="shared" si="5"/>
        <v/>
      </c>
      <c r="O126" s="29">
        <f>(IF(H126="",Assumptions!$B$3,H126)-G126)/365.25</f>
        <v>3.4360027378507869</v>
      </c>
      <c r="P126" s="14" t="str">
        <f t="shared" si="6"/>
        <v>25 to 34</v>
      </c>
      <c r="Q126" s="14" t="str">
        <f t="shared" si="7"/>
        <v>3 to 5 yrs</v>
      </c>
      <c r="R126" s="30">
        <f>K126/INDEX(Assumptions!$B$9:$B$13,MATCH(E126,Assumptions!$A$9:$A$13,0))</f>
        <v>0.79894736842105263</v>
      </c>
    </row>
    <row r="127" spans="1:18" x14ac:dyDescent="0.35">
      <c r="A127" s="26" t="s">
        <v>337</v>
      </c>
      <c r="B127" s="26" t="s">
        <v>338</v>
      </c>
      <c r="C127" s="26" t="s">
        <v>20</v>
      </c>
      <c r="D127" s="26" t="s">
        <v>34</v>
      </c>
      <c r="E127" s="26" t="s">
        <v>62</v>
      </c>
      <c r="F127" s="26" t="s">
        <v>65</v>
      </c>
      <c r="G127" s="27">
        <v>45052</v>
      </c>
      <c r="H127" s="27"/>
      <c r="I127" s="26"/>
      <c r="J127" s="26">
        <v>44</v>
      </c>
      <c r="K127" s="28">
        <v>2548000</v>
      </c>
      <c r="L127" s="26">
        <v>4</v>
      </c>
      <c r="M127" s="14" t="str">
        <f t="shared" si="4"/>
        <v>Active</v>
      </c>
      <c r="N127" s="14" t="str">
        <f t="shared" si="5"/>
        <v/>
      </c>
      <c r="O127" s="29">
        <f>(IF(H127="",Assumptions!$B$3,H127)-G127)/365.25</f>
        <v>3.4031485284052021</v>
      </c>
      <c r="P127" s="14" t="str">
        <f t="shared" si="6"/>
        <v>35 to 44</v>
      </c>
      <c r="Q127" s="14" t="str">
        <f t="shared" si="7"/>
        <v>3 to 5 yrs</v>
      </c>
      <c r="R127" s="30">
        <f>K127/INDEX(Assumptions!$B$9:$B$13,MATCH(E127,Assumptions!$A$9:$A$13,0))</f>
        <v>0.84933333333333338</v>
      </c>
    </row>
    <row r="128" spans="1:18" x14ac:dyDescent="0.35">
      <c r="A128" s="26" t="s">
        <v>339</v>
      </c>
      <c r="B128" s="26" t="s">
        <v>167</v>
      </c>
      <c r="C128" s="26" t="s">
        <v>20</v>
      </c>
      <c r="D128" s="26" t="s">
        <v>34</v>
      </c>
      <c r="E128" s="26" t="s">
        <v>59</v>
      </c>
      <c r="F128" s="26" t="s">
        <v>65</v>
      </c>
      <c r="G128" s="27">
        <v>45063</v>
      </c>
      <c r="H128" s="27"/>
      <c r="I128" s="26"/>
      <c r="J128" s="26">
        <v>25</v>
      </c>
      <c r="K128" s="28">
        <v>608000</v>
      </c>
      <c r="L128" s="26">
        <v>4</v>
      </c>
      <c r="M128" s="14" t="str">
        <f t="shared" si="4"/>
        <v>Active</v>
      </c>
      <c r="N128" s="14" t="str">
        <f t="shared" si="5"/>
        <v/>
      </c>
      <c r="O128" s="29">
        <f>(IF(H128="",Assumptions!$B$3,H128)-G128)/365.25</f>
        <v>3.3730321697467489</v>
      </c>
      <c r="P128" s="14" t="str">
        <f t="shared" si="6"/>
        <v>25 to 34</v>
      </c>
      <c r="Q128" s="14" t="str">
        <f t="shared" si="7"/>
        <v>3 to 5 yrs</v>
      </c>
      <c r="R128" s="30">
        <f>K128/INDEX(Assumptions!$B$9:$B$13,MATCH(E128,Assumptions!$A$9:$A$13,0))</f>
        <v>1.1054545454545455</v>
      </c>
    </row>
    <row r="129" spans="1:18" x14ac:dyDescent="0.35">
      <c r="A129" s="26" t="s">
        <v>340</v>
      </c>
      <c r="B129" s="26" t="s">
        <v>341</v>
      </c>
      <c r="C129" s="26" t="s">
        <v>21</v>
      </c>
      <c r="D129" s="26" t="s">
        <v>30</v>
      </c>
      <c r="E129" s="26" t="s">
        <v>59</v>
      </c>
      <c r="F129" s="26" t="s">
        <v>66</v>
      </c>
      <c r="G129" s="27">
        <v>45074</v>
      </c>
      <c r="H129" s="27"/>
      <c r="I129" s="26"/>
      <c r="J129" s="26">
        <v>28</v>
      </c>
      <c r="K129" s="28">
        <v>483000</v>
      </c>
      <c r="L129" s="26">
        <v>3</v>
      </c>
      <c r="M129" s="14" t="str">
        <f t="shared" si="4"/>
        <v>Active</v>
      </c>
      <c r="N129" s="14" t="str">
        <f t="shared" si="5"/>
        <v/>
      </c>
      <c r="O129" s="29">
        <f>(IF(H129="",Assumptions!$B$3,H129)-G129)/365.25</f>
        <v>3.3429158110882957</v>
      </c>
      <c r="P129" s="14" t="str">
        <f t="shared" si="6"/>
        <v>25 to 34</v>
      </c>
      <c r="Q129" s="14" t="str">
        <f t="shared" si="7"/>
        <v>3 to 5 yrs</v>
      </c>
      <c r="R129" s="30">
        <f>K129/INDEX(Assumptions!$B$9:$B$13,MATCH(E129,Assumptions!$A$9:$A$13,0))</f>
        <v>0.87818181818181817</v>
      </c>
    </row>
    <row r="130" spans="1:18" x14ac:dyDescent="0.35">
      <c r="A130" s="26" t="s">
        <v>342</v>
      </c>
      <c r="B130" s="26" t="s">
        <v>343</v>
      </c>
      <c r="C130" s="26" t="s">
        <v>20</v>
      </c>
      <c r="D130" s="26" t="s">
        <v>29</v>
      </c>
      <c r="E130" s="26" t="s">
        <v>60</v>
      </c>
      <c r="F130" s="26" t="s">
        <v>69</v>
      </c>
      <c r="G130" s="27">
        <v>45086</v>
      </c>
      <c r="H130" s="27"/>
      <c r="I130" s="26"/>
      <c r="J130" s="26">
        <v>32</v>
      </c>
      <c r="K130" s="28">
        <v>981000</v>
      </c>
      <c r="L130" s="26">
        <v>3</v>
      </c>
      <c r="M130" s="14" t="str">
        <f t="shared" ref="M130:M193" si="8">IF(H130="","Active","Exited")</f>
        <v>Active</v>
      </c>
      <c r="N130" s="14" t="str">
        <f t="shared" ref="N130:N193" si="9">IF(H130="","",IF(OR(I130="Performance Termination",I130="Restructuring"),"Involuntary","Voluntary"))</f>
        <v/>
      </c>
      <c r="O130" s="29">
        <f>(IF(H130="",Assumptions!$B$3,H130)-G130)/365.25</f>
        <v>3.3100616016427105</v>
      </c>
      <c r="P130" s="14" t="str">
        <f t="shared" ref="P130:P193" si="10">IF(J130&lt;25,"Under 25",IF(J130&lt;35,"25 to 34",IF(J130&lt;45,"35 to 44",IF(J130&lt;55,"45 to 54","55 and above"))))</f>
        <v>25 to 34</v>
      </c>
      <c r="Q130" s="14" t="str">
        <f t="shared" ref="Q130:Q193" si="11">IF(O130&lt;1,"Under 1 yr",IF(O130&lt;3,"1 to 3 yrs",IF(O130&lt;5,"3 to 5 yrs",IF(O130&lt;10,"5 to 10 yrs","10+ yrs"))))</f>
        <v>3 to 5 yrs</v>
      </c>
      <c r="R130" s="30">
        <f>K130/INDEX(Assumptions!$B$9:$B$13,MATCH(E130,Assumptions!$A$9:$A$13,0))</f>
        <v>1.0326315789473683</v>
      </c>
    </row>
    <row r="131" spans="1:18" x14ac:dyDescent="0.35">
      <c r="A131" s="26" t="s">
        <v>344</v>
      </c>
      <c r="B131" s="26" t="s">
        <v>345</v>
      </c>
      <c r="C131" s="26" t="s">
        <v>20</v>
      </c>
      <c r="D131" s="26" t="s">
        <v>32</v>
      </c>
      <c r="E131" s="26" t="s">
        <v>59</v>
      </c>
      <c r="F131" s="26" t="s">
        <v>68</v>
      </c>
      <c r="G131" s="27">
        <v>45098</v>
      </c>
      <c r="H131" s="27"/>
      <c r="I131" s="26"/>
      <c r="J131" s="26">
        <v>26</v>
      </c>
      <c r="K131" s="28">
        <v>492000</v>
      </c>
      <c r="L131" s="26">
        <v>3</v>
      </c>
      <c r="M131" s="14" t="str">
        <f t="shared" si="8"/>
        <v>Active</v>
      </c>
      <c r="N131" s="14" t="str">
        <f t="shared" si="9"/>
        <v/>
      </c>
      <c r="O131" s="29">
        <f>(IF(H131="",Assumptions!$B$3,H131)-G131)/365.25</f>
        <v>3.2772073921971252</v>
      </c>
      <c r="P131" s="14" t="str">
        <f t="shared" si="10"/>
        <v>25 to 34</v>
      </c>
      <c r="Q131" s="14" t="str">
        <f t="shared" si="11"/>
        <v>3 to 5 yrs</v>
      </c>
      <c r="R131" s="30">
        <f>K131/INDEX(Assumptions!$B$9:$B$13,MATCH(E131,Assumptions!$A$9:$A$13,0))</f>
        <v>0.89454545454545453</v>
      </c>
    </row>
    <row r="132" spans="1:18" x14ac:dyDescent="0.35">
      <c r="A132" s="26" t="s">
        <v>346</v>
      </c>
      <c r="B132" s="26" t="s">
        <v>347</v>
      </c>
      <c r="C132" s="26" t="s">
        <v>21</v>
      </c>
      <c r="D132" s="26" t="s">
        <v>29</v>
      </c>
      <c r="E132" s="26" t="s">
        <v>61</v>
      </c>
      <c r="F132" s="26" t="s">
        <v>65</v>
      </c>
      <c r="G132" s="27">
        <v>45108</v>
      </c>
      <c r="H132" s="27">
        <v>46012</v>
      </c>
      <c r="I132" s="26" t="s">
        <v>207</v>
      </c>
      <c r="J132" s="26">
        <v>40</v>
      </c>
      <c r="K132" s="28">
        <v>1442000</v>
      </c>
      <c r="L132" s="26">
        <v>3</v>
      </c>
      <c r="M132" s="14" t="str">
        <f t="shared" si="8"/>
        <v>Exited</v>
      </c>
      <c r="N132" s="14" t="str">
        <f t="shared" si="9"/>
        <v>Voluntary</v>
      </c>
      <c r="O132" s="29">
        <f>(IF(H132="",Assumptions!$B$3,H132)-G132)/365.25</f>
        <v>2.4750171115674195</v>
      </c>
      <c r="P132" s="14" t="str">
        <f t="shared" si="10"/>
        <v>35 to 44</v>
      </c>
      <c r="Q132" s="14" t="str">
        <f t="shared" si="11"/>
        <v>1 to 3 yrs</v>
      </c>
      <c r="R132" s="30">
        <f>K132/INDEX(Assumptions!$B$9:$B$13,MATCH(E132,Assumptions!$A$9:$A$13,0))</f>
        <v>0.8739393939393939</v>
      </c>
    </row>
    <row r="133" spans="1:18" x14ac:dyDescent="0.35">
      <c r="A133" s="26" t="s">
        <v>348</v>
      </c>
      <c r="B133" s="26" t="s">
        <v>349</v>
      </c>
      <c r="C133" s="26" t="s">
        <v>21</v>
      </c>
      <c r="D133" s="26" t="s">
        <v>29</v>
      </c>
      <c r="E133" s="26" t="s">
        <v>59</v>
      </c>
      <c r="F133" s="26" t="s">
        <v>65</v>
      </c>
      <c r="G133" s="27">
        <v>45142</v>
      </c>
      <c r="H133" s="27"/>
      <c r="I133" s="26"/>
      <c r="J133" s="26">
        <v>26</v>
      </c>
      <c r="K133" s="28">
        <v>616000</v>
      </c>
      <c r="L133" s="26">
        <v>4</v>
      </c>
      <c r="M133" s="14" t="str">
        <f t="shared" si="8"/>
        <v>Active</v>
      </c>
      <c r="N133" s="14" t="str">
        <f t="shared" si="9"/>
        <v/>
      </c>
      <c r="O133" s="29">
        <f>(IF(H133="",Assumptions!$B$3,H133)-G133)/365.25</f>
        <v>3.1567419575633129</v>
      </c>
      <c r="P133" s="14" t="str">
        <f t="shared" si="10"/>
        <v>25 to 34</v>
      </c>
      <c r="Q133" s="14" t="str">
        <f t="shared" si="11"/>
        <v>3 to 5 yrs</v>
      </c>
      <c r="R133" s="30">
        <f>K133/INDEX(Assumptions!$B$9:$B$13,MATCH(E133,Assumptions!$A$9:$A$13,0))</f>
        <v>1.1200000000000001</v>
      </c>
    </row>
    <row r="134" spans="1:18" x14ac:dyDescent="0.35">
      <c r="A134" s="26" t="s">
        <v>350</v>
      </c>
      <c r="B134" s="26" t="s">
        <v>351</v>
      </c>
      <c r="C134" s="26" t="s">
        <v>21</v>
      </c>
      <c r="D134" s="26" t="s">
        <v>29</v>
      </c>
      <c r="E134" s="26" t="s">
        <v>58</v>
      </c>
      <c r="F134" s="26" t="s">
        <v>66</v>
      </c>
      <c r="G134" s="27">
        <v>45145</v>
      </c>
      <c r="H134" s="27">
        <v>45945</v>
      </c>
      <c r="I134" s="26" t="s">
        <v>207</v>
      </c>
      <c r="J134" s="26">
        <v>24</v>
      </c>
      <c r="K134" s="28">
        <v>293000</v>
      </c>
      <c r="L134" s="26">
        <v>3</v>
      </c>
      <c r="M134" s="14" t="str">
        <f t="shared" si="8"/>
        <v>Exited</v>
      </c>
      <c r="N134" s="14" t="str">
        <f t="shared" si="9"/>
        <v>Voluntary</v>
      </c>
      <c r="O134" s="29">
        <f>(IF(H134="",Assumptions!$B$3,H134)-G134)/365.25</f>
        <v>2.1902806297056809</v>
      </c>
      <c r="P134" s="14" t="str">
        <f t="shared" si="10"/>
        <v>Under 25</v>
      </c>
      <c r="Q134" s="14" t="str">
        <f t="shared" si="11"/>
        <v>1 to 3 yrs</v>
      </c>
      <c r="R134" s="30">
        <f>K134/INDEX(Assumptions!$B$9:$B$13,MATCH(E134,Assumptions!$A$9:$A$13,0))</f>
        <v>0.83714285714285719</v>
      </c>
    </row>
    <row r="135" spans="1:18" x14ac:dyDescent="0.35">
      <c r="A135" s="26" t="s">
        <v>352</v>
      </c>
      <c r="B135" s="26" t="s">
        <v>353</v>
      </c>
      <c r="C135" s="26" t="s">
        <v>21</v>
      </c>
      <c r="D135" s="26" t="s">
        <v>31</v>
      </c>
      <c r="E135" s="26" t="s">
        <v>58</v>
      </c>
      <c r="F135" s="26" t="s">
        <v>66</v>
      </c>
      <c r="G135" s="27">
        <v>45149</v>
      </c>
      <c r="H135" s="27">
        <v>46088</v>
      </c>
      <c r="I135" s="26" t="s">
        <v>147</v>
      </c>
      <c r="J135" s="26">
        <v>24</v>
      </c>
      <c r="K135" s="28">
        <v>327000</v>
      </c>
      <c r="L135" s="26">
        <v>3</v>
      </c>
      <c r="M135" s="14" t="str">
        <f t="shared" si="8"/>
        <v>Exited</v>
      </c>
      <c r="N135" s="14" t="str">
        <f t="shared" si="9"/>
        <v>Voluntary</v>
      </c>
      <c r="O135" s="29">
        <f>(IF(H135="",Assumptions!$B$3,H135)-G135)/365.25</f>
        <v>2.5708418891170433</v>
      </c>
      <c r="P135" s="14" t="str">
        <f t="shared" si="10"/>
        <v>Under 25</v>
      </c>
      <c r="Q135" s="14" t="str">
        <f t="shared" si="11"/>
        <v>1 to 3 yrs</v>
      </c>
      <c r="R135" s="30">
        <f>K135/INDEX(Assumptions!$B$9:$B$13,MATCH(E135,Assumptions!$A$9:$A$13,0))</f>
        <v>0.93428571428571427</v>
      </c>
    </row>
    <row r="136" spans="1:18" x14ac:dyDescent="0.35">
      <c r="A136" s="26" t="s">
        <v>354</v>
      </c>
      <c r="B136" s="26" t="s">
        <v>355</v>
      </c>
      <c r="C136" s="26" t="s">
        <v>20</v>
      </c>
      <c r="D136" s="26" t="s">
        <v>33</v>
      </c>
      <c r="E136" s="26" t="s">
        <v>59</v>
      </c>
      <c r="F136" s="26" t="s">
        <v>65</v>
      </c>
      <c r="G136" s="27">
        <v>45155</v>
      </c>
      <c r="H136" s="27"/>
      <c r="I136" s="26"/>
      <c r="J136" s="26">
        <v>29</v>
      </c>
      <c r="K136" s="28">
        <v>602000</v>
      </c>
      <c r="L136" s="26">
        <v>3</v>
      </c>
      <c r="M136" s="14" t="str">
        <f t="shared" si="8"/>
        <v>Active</v>
      </c>
      <c r="N136" s="14" t="str">
        <f t="shared" si="9"/>
        <v/>
      </c>
      <c r="O136" s="29">
        <f>(IF(H136="",Assumptions!$B$3,H136)-G136)/365.25</f>
        <v>3.1211498973305956</v>
      </c>
      <c r="P136" s="14" t="str">
        <f t="shared" si="10"/>
        <v>25 to 34</v>
      </c>
      <c r="Q136" s="14" t="str">
        <f t="shared" si="11"/>
        <v>3 to 5 yrs</v>
      </c>
      <c r="R136" s="30">
        <f>K136/INDEX(Assumptions!$B$9:$B$13,MATCH(E136,Assumptions!$A$9:$A$13,0))</f>
        <v>1.0945454545454545</v>
      </c>
    </row>
    <row r="137" spans="1:18" x14ac:dyDescent="0.35">
      <c r="A137" s="26" t="s">
        <v>356</v>
      </c>
      <c r="B137" s="26" t="s">
        <v>357</v>
      </c>
      <c r="C137" s="26" t="s">
        <v>21</v>
      </c>
      <c r="D137" s="26" t="s">
        <v>32</v>
      </c>
      <c r="E137" s="26" t="s">
        <v>59</v>
      </c>
      <c r="F137" s="26" t="s">
        <v>68</v>
      </c>
      <c r="G137" s="27">
        <v>45156</v>
      </c>
      <c r="H137" s="27"/>
      <c r="I137" s="26"/>
      <c r="J137" s="26">
        <v>25</v>
      </c>
      <c r="K137" s="28">
        <v>517000</v>
      </c>
      <c r="L137" s="26">
        <v>4</v>
      </c>
      <c r="M137" s="14" t="str">
        <f t="shared" si="8"/>
        <v>Active</v>
      </c>
      <c r="N137" s="14" t="str">
        <f t="shared" si="9"/>
        <v/>
      </c>
      <c r="O137" s="29">
        <f>(IF(H137="",Assumptions!$B$3,H137)-G137)/365.25</f>
        <v>3.1184120465434635</v>
      </c>
      <c r="P137" s="14" t="str">
        <f t="shared" si="10"/>
        <v>25 to 34</v>
      </c>
      <c r="Q137" s="14" t="str">
        <f t="shared" si="11"/>
        <v>3 to 5 yrs</v>
      </c>
      <c r="R137" s="30">
        <f>K137/INDEX(Assumptions!$B$9:$B$13,MATCH(E137,Assumptions!$A$9:$A$13,0))</f>
        <v>0.94</v>
      </c>
    </row>
    <row r="138" spans="1:18" x14ac:dyDescent="0.35">
      <c r="A138" s="26" t="s">
        <v>358</v>
      </c>
      <c r="B138" s="26" t="s">
        <v>359</v>
      </c>
      <c r="C138" s="26" t="s">
        <v>20</v>
      </c>
      <c r="D138" s="26" t="s">
        <v>29</v>
      </c>
      <c r="E138" s="26" t="s">
        <v>58</v>
      </c>
      <c r="F138" s="26" t="s">
        <v>67</v>
      </c>
      <c r="G138" s="27">
        <v>45157</v>
      </c>
      <c r="H138" s="27"/>
      <c r="I138" s="26"/>
      <c r="J138" s="26">
        <v>25</v>
      </c>
      <c r="K138" s="28">
        <v>355000</v>
      </c>
      <c r="L138" s="26">
        <v>5</v>
      </c>
      <c r="M138" s="14" t="str">
        <f t="shared" si="8"/>
        <v>Active</v>
      </c>
      <c r="N138" s="14" t="str">
        <f t="shared" si="9"/>
        <v/>
      </c>
      <c r="O138" s="29">
        <f>(IF(H138="",Assumptions!$B$3,H138)-G138)/365.25</f>
        <v>3.1156741957563314</v>
      </c>
      <c r="P138" s="14" t="str">
        <f t="shared" si="10"/>
        <v>25 to 34</v>
      </c>
      <c r="Q138" s="14" t="str">
        <f t="shared" si="11"/>
        <v>3 to 5 yrs</v>
      </c>
      <c r="R138" s="30">
        <f>K138/INDEX(Assumptions!$B$9:$B$13,MATCH(E138,Assumptions!$A$9:$A$13,0))</f>
        <v>1.0142857142857142</v>
      </c>
    </row>
    <row r="139" spans="1:18" x14ac:dyDescent="0.35">
      <c r="A139" s="26" t="s">
        <v>360</v>
      </c>
      <c r="B139" s="26" t="s">
        <v>361</v>
      </c>
      <c r="C139" s="26" t="s">
        <v>21</v>
      </c>
      <c r="D139" s="26" t="s">
        <v>30</v>
      </c>
      <c r="E139" s="26" t="s">
        <v>58</v>
      </c>
      <c r="F139" s="26" t="s">
        <v>68</v>
      </c>
      <c r="G139" s="27">
        <v>45161</v>
      </c>
      <c r="H139" s="27"/>
      <c r="I139" s="26"/>
      <c r="J139" s="26">
        <v>25</v>
      </c>
      <c r="K139" s="28">
        <v>312000</v>
      </c>
      <c r="L139" s="26">
        <v>3</v>
      </c>
      <c r="M139" s="14" t="str">
        <f t="shared" si="8"/>
        <v>Active</v>
      </c>
      <c r="N139" s="14" t="str">
        <f t="shared" si="9"/>
        <v/>
      </c>
      <c r="O139" s="29">
        <f>(IF(H139="",Assumptions!$B$3,H139)-G139)/365.25</f>
        <v>3.1047227926078027</v>
      </c>
      <c r="P139" s="14" t="str">
        <f t="shared" si="10"/>
        <v>25 to 34</v>
      </c>
      <c r="Q139" s="14" t="str">
        <f t="shared" si="11"/>
        <v>3 to 5 yrs</v>
      </c>
      <c r="R139" s="30">
        <f>K139/INDEX(Assumptions!$B$9:$B$13,MATCH(E139,Assumptions!$A$9:$A$13,0))</f>
        <v>0.89142857142857146</v>
      </c>
    </row>
    <row r="140" spans="1:18" x14ac:dyDescent="0.35">
      <c r="A140" s="26" t="s">
        <v>362</v>
      </c>
      <c r="B140" s="26" t="s">
        <v>363</v>
      </c>
      <c r="C140" s="26" t="s">
        <v>20</v>
      </c>
      <c r="D140" s="26" t="s">
        <v>34</v>
      </c>
      <c r="E140" s="26" t="s">
        <v>59</v>
      </c>
      <c r="F140" s="26" t="s">
        <v>68</v>
      </c>
      <c r="G140" s="27">
        <v>45169</v>
      </c>
      <c r="H140" s="27"/>
      <c r="I140" s="26"/>
      <c r="J140" s="26">
        <v>28</v>
      </c>
      <c r="K140" s="28">
        <v>586000</v>
      </c>
      <c r="L140" s="26">
        <v>2</v>
      </c>
      <c r="M140" s="14" t="str">
        <f t="shared" si="8"/>
        <v>Active</v>
      </c>
      <c r="N140" s="14" t="str">
        <f t="shared" si="9"/>
        <v/>
      </c>
      <c r="O140" s="29">
        <f>(IF(H140="",Assumptions!$B$3,H140)-G140)/365.25</f>
        <v>3.0828199863107462</v>
      </c>
      <c r="P140" s="14" t="str">
        <f t="shared" si="10"/>
        <v>25 to 34</v>
      </c>
      <c r="Q140" s="14" t="str">
        <f t="shared" si="11"/>
        <v>3 to 5 yrs</v>
      </c>
      <c r="R140" s="30">
        <f>K140/INDEX(Assumptions!$B$9:$B$13,MATCH(E140,Assumptions!$A$9:$A$13,0))</f>
        <v>1.0654545454545454</v>
      </c>
    </row>
    <row r="141" spans="1:18" x14ac:dyDescent="0.35">
      <c r="A141" s="26" t="s">
        <v>364</v>
      </c>
      <c r="B141" s="26" t="s">
        <v>353</v>
      </c>
      <c r="C141" s="26" t="s">
        <v>21</v>
      </c>
      <c r="D141" s="26" t="s">
        <v>33</v>
      </c>
      <c r="E141" s="26" t="s">
        <v>58</v>
      </c>
      <c r="F141" s="26" t="s">
        <v>69</v>
      </c>
      <c r="G141" s="27">
        <v>45174</v>
      </c>
      <c r="H141" s="27"/>
      <c r="I141" s="26"/>
      <c r="J141" s="26">
        <v>24</v>
      </c>
      <c r="K141" s="28">
        <v>400000</v>
      </c>
      <c r="L141" s="26">
        <v>3</v>
      </c>
      <c r="M141" s="14" t="str">
        <f t="shared" si="8"/>
        <v>Active</v>
      </c>
      <c r="N141" s="14" t="str">
        <f t="shared" si="9"/>
        <v/>
      </c>
      <c r="O141" s="29">
        <f>(IF(H141="",Assumptions!$B$3,H141)-G141)/365.25</f>
        <v>3.0691307323750854</v>
      </c>
      <c r="P141" s="14" t="str">
        <f t="shared" si="10"/>
        <v>Under 25</v>
      </c>
      <c r="Q141" s="14" t="str">
        <f t="shared" si="11"/>
        <v>3 to 5 yrs</v>
      </c>
      <c r="R141" s="30">
        <f>K141/INDEX(Assumptions!$B$9:$B$13,MATCH(E141,Assumptions!$A$9:$A$13,0))</f>
        <v>1.1428571428571428</v>
      </c>
    </row>
    <row r="142" spans="1:18" x14ac:dyDescent="0.35">
      <c r="A142" s="26" t="s">
        <v>365</v>
      </c>
      <c r="B142" s="26" t="s">
        <v>366</v>
      </c>
      <c r="C142" s="26" t="s">
        <v>20</v>
      </c>
      <c r="D142" s="26" t="s">
        <v>32</v>
      </c>
      <c r="E142" s="26" t="s">
        <v>58</v>
      </c>
      <c r="F142" s="26" t="s">
        <v>66</v>
      </c>
      <c r="G142" s="27">
        <v>45187</v>
      </c>
      <c r="H142" s="27"/>
      <c r="I142" s="26"/>
      <c r="J142" s="26">
        <v>25</v>
      </c>
      <c r="K142" s="28">
        <v>287000</v>
      </c>
      <c r="L142" s="26">
        <v>2</v>
      </c>
      <c r="M142" s="14" t="str">
        <f t="shared" si="8"/>
        <v>Active</v>
      </c>
      <c r="N142" s="14" t="str">
        <f t="shared" si="9"/>
        <v/>
      </c>
      <c r="O142" s="29">
        <f>(IF(H142="",Assumptions!$B$3,H142)-G142)/365.25</f>
        <v>3.0335386721423681</v>
      </c>
      <c r="P142" s="14" t="str">
        <f t="shared" si="10"/>
        <v>25 to 34</v>
      </c>
      <c r="Q142" s="14" t="str">
        <f t="shared" si="11"/>
        <v>3 to 5 yrs</v>
      </c>
      <c r="R142" s="30">
        <f>K142/INDEX(Assumptions!$B$9:$B$13,MATCH(E142,Assumptions!$A$9:$A$13,0))</f>
        <v>0.82</v>
      </c>
    </row>
    <row r="143" spans="1:18" x14ac:dyDescent="0.35">
      <c r="A143" s="26" t="s">
        <v>367</v>
      </c>
      <c r="B143" s="26" t="s">
        <v>368</v>
      </c>
      <c r="C143" s="26" t="s">
        <v>21</v>
      </c>
      <c r="D143" s="26" t="s">
        <v>31</v>
      </c>
      <c r="E143" s="26" t="s">
        <v>60</v>
      </c>
      <c r="F143" s="26" t="s">
        <v>67</v>
      </c>
      <c r="G143" s="27">
        <v>45189</v>
      </c>
      <c r="H143" s="27"/>
      <c r="I143" s="26"/>
      <c r="J143" s="26">
        <v>32</v>
      </c>
      <c r="K143" s="28">
        <v>1212000</v>
      </c>
      <c r="L143" s="26">
        <v>5</v>
      </c>
      <c r="M143" s="14" t="str">
        <f t="shared" si="8"/>
        <v>Active</v>
      </c>
      <c r="N143" s="14" t="str">
        <f t="shared" si="9"/>
        <v/>
      </c>
      <c r="O143" s="29">
        <f>(IF(H143="",Assumptions!$B$3,H143)-G143)/365.25</f>
        <v>3.0280629705681039</v>
      </c>
      <c r="P143" s="14" t="str">
        <f t="shared" si="10"/>
        <v>25 to 34</v>
      </c>
      <c r="Q143" s="14" t="str">
        <f t="shared" si="11"/>
        <v>3 to 5 yrs</v>
      </c>
      <c r="R143" s="30">
        <f>K143/INDEX(Assumptions!$B$9:$B$13,MATCH(E143,Assumptions!$A$9:$A$13,0))</f>
        <v>1.2757894736842106</v>
      </c>
    </row>
    <row r="144" spans="1:18" x14ac:dyDescent="0.35">
      <c r="A144" s="26" t="s">
        <v>369</v>
      </c>
      <c r="B144" s="26" t="s">
        <v>370</v>
      </c>
      <c r="C144" s="26" t="s">
        <v>20</v>
      </c>
      <c r="D144" s="26" t="s">
        <v>31</v>
      </c>
      <c r="E144" s="26" t="s">
        <v>59</v>
      </c>
      <c r="F144" s="26" t="s">
        <v>66</v>
      </c>
      <c r="G144" s="27">
        <v>45189</v>
      </c>
      <c r="H144" s="27"/>
      <c r="I144" s="26"/>
      <c r="J144" s="26">
        <v>25</v>
      </c>
      <c r="K144" s="28">
        <v>575000</v>
      </c>
      <c r="L144" s="26">
        <v>3</v>
      </c>
      <c r="M144" s="14" t="str">
        <f t="shared" si="8"/>
        <v>Active</v>
      </c>
      <c r="N144" s="14" t="str">
        <f t="shared" si="9"/>
        <v/>
      </c>
      <c r="O144" s="29">
        <f>(IF(H144="",Assumptions!$B$3,H144)-G144)/365.25</f>
        <v>3.0280629705681039</v>
      </c>
      <c r="P144" s="14" t="str">
        <f t="shared" si="10"/>
        <v>25 to 34</v>
      </c>
      <c r="Q144" s="14" t="str">
        <f t="shared" si="11"/>
        <v>3 to 5 yrs</v>
      </c>
      <c r="R144" s="30">
        <f>K144/INDEX(Assumptions!$B$9:$B$13,MATCH(E144,Assumptions!$A$9:$A$13,0))</f>
        <v>1.0454545454545454</v>
      </c>
    </row>
    <row r="145" spans="1:18" x14ac:dyDescent="0.35">
      <c r="A145" s="26" t="s">
        <v>371</v>
      </c>
      <c r="B145" s="26" t="s">
        <v>197</v>
      </c>
      <c r="C145" s="26" t="s">
        <v>21</v>
      </c>
      <c r="D145" s="26" t="s">
        <v>29</v>
      </c>
      <c r="E145" s="26" t="s">
        <v>59</v>
      </c>
      <c r="F145" s="26" t="s">
        <v>69</v>
      </c>
      <c r="G145" s="27">
        <v>45194</v>
      </c>
      <c r="H145" s="27"/>
      <c r="I145" s="26"/>
      <c r="J145" s="26">
        <v>29</v>
      </c>
      <c r="K145" s="28">
        <v>552000</v>
      </c>
      <c r="L145" s="26">
        <v>4</v>
      </c>
      <c r="M145" s="14" t="str">
        <f t="shared" si="8"/>
        <v>Active</v>
      </c>
      <c r="N145" s="14" t="str">
        <f t="shared" si="9"/>
        <v/>
      </c>
      <c r="O145" s="29">
        <f>(IF(H145="",Assumptions!$B$3,H145)-G145)/365.25</f>
        <v>3.0143737166324436</v>
      </c>
      <c r="P145" s="14" t="str">
        <f t="shared" si="10"/>
        <v>25 to 34</v>
      </c>
      <c r="Q145" s="14" t="str">
        <f t="shared" si="11"/>
        <v>3 to 5 yrs</v>
      </c>
      <c r="R145" s="30">
        <f>K145/INDEX(Assumptions!$B$9:$B$13,MATCH(E145,Assumptions!$A$9:$A$13,0))</f>
        <v>1.0036363636363637</v>
      </c>
    </row>
    <row r="146" spans="1:18" x14ac:dyDescent="0.35">
      <c r="A146" s="26" t="s">
        <v>372</v>
      </c>
      <c r="B146" s="26" t="s">
        <v>373</v>
      </c>
      <c r="C146" s="26" t="s">
        <v>21</v>
      </c>
      <c r="D146" s="26" t="s">
        <v>31</v>
      </c>
      <c r="E146" s="26" t="s">
        <v>60</v>
      </c>
      <c r="F146" s="26" t="s">
        <v>66</v>
      </c>
      <c r="G146" s="27">
        <v>45196</v>
      </c>
      <c r="H146" s="27"/>
      <c r="I146" s="26"/>
      <c r="J146" s="26">
        <v>32</v>
      </c>
      <c r="K146" s="28">
        <v>1112000</v>
      </c>
      <c r="L146" s="26">
        <v>3</v>
      </c>
      <c r="M146" s="14" t="str">
        <f t="shared" si="8"/>
        <v>Active</v>
      </c>
      <c r="N146" s="14" t="str">
        <f t="shared" si="9"/>
        <v/>
      </c>
      <c r="O146" s="29">
        <f>(IF(H146="",Assumptions!$B$3,H146)-G146)/365.25</f>
        <v>3.0088980150581794</v>
      </c>
      <c r="P146" s="14" t="str">
        <f t="shared" si="10"/>
        <v>25 to 34</v>
      </c>
      <c r="Q146" s="14" t="str">
        <f t="shared" si="11"/>
        <v>3 to 5 yrs</v>
      </c>
      <c r="R146" s="30">
        <f>K146/INDEX(Assumptions!$B$9:$B$13,MATCH(E146,Assumptions!$A$9:$A$13,0))</f>
        <v>1.1705263157894736</v>
      </c>
    </row>
    <row r="147" spans="1:18" x14ac:dyDescent="0.35">
      <c r="A147" s="26" t="s">
        <v>374</v>
      </c>
      <c r="B147" s="26" t="s">
        <v>375</v>
      </c>
      <c r="C147" s="26" t="s">
        <v>20</v>
      </c>
      <c r="D147" s="26" t="s">
        <v>30</v>
      </c>
      <c r="E147" s="26" t="s">
        <v>58</v>
      </c>
      <c r="F147" s="26" t="s">
        <v>65</v>
      </c>
      <c r="G147" s="27">
        <v>45204</v>
      </c>
      <c r="H147" s="27"/>
      <c r="I147" s="26"/>
      <c r="J147" s="26">
        <v>24</v>
      </c>
      <c r="K147" s="28">
        <v>290000</v>
      </c>
      <c r="L147" s="26">
        <v>2</v>
      </c>
      <c r="M147" s="14" t="str">
        <f t="shared" si="8"/>
        <v>Active</v>
      </c>
      <c r="N147" s="14" t="str">
        <f t="shared" si="9"/>
        <v/>
      </c>
      <c r="O147" s="29">
        <f>(IF(H147="",Assumptions!$B$3,H147)-G147)/365.25</f>
        <v>2.9869952087611225</v>
      </c>
      <c r="P147" s="14" t="str">
        <f t="shared" si="10"/>
        <v>Under 25</v>
      </c>
      <c r="Q147" s="14" t="str">
        <f t="shared" si="11"/>
        <v>1 to 3 yrs</v>
      </c>
      <c r="R147" s="30">
        <f>K147/INDEX(Assumptions!$B$9:$B$13,MATCH(E147,Assumptions!$A$9:$A$13,0))</f>
        <v>0.82857142857142863</v>
      </c>
    </row>
    <row r="148" spans="1:18" x14ac:dyDescent="0.35">
      <c r="A148" s="26" t="s">
        <v>376</v>
      </c>
      <c r="B148" s="26" t="s">
        <v>377</v>
      </c>
      <c r="C148" s="26" t="s">
        <v>20</v>
      </c>
      <c r="D148" s="26" t="s">
        <v>29</v>
      </c>
      <c r="E148" s="26" t="s">
        <v>59</v>
      </c>
      <c r="F148" s="26" t="s">
        <v>69</v>
      </c>
      <c r="G148" s="27">
        <v>45224</v>
      </c>
      <c r="H148" s="27"/>
      <c r="I148" s="26"/>
      <c r="J148" s="26">
        <v>25</v>
      </c>
      <c r="K148" s="28">
        <v>513000</v>
      </c>
      <c r="L148" s="26">
        <v>5</v>
      </c>
      <c r="M148" s="14" t="str">
        <f t="shared" si="8"/>
        <v>Active</v>
      </c>
      <c r="N148" s="14" t="str">
        <f t="shared" si="9"/>
        <v/>
      </c>
      <c r="O148" s="29">
        <f>(IF(H148="",Assumptions!$B$3,H148)-G148)/365.25</f>
        <v>2.9322381930184807</v>
      </c>
      <c r="P148" s="14" t="str">
        <f t="shared" si="10"/>
        <v>25 to 34</v>
      </c>
      <c r="Q148" s="14" t="str">
        <f t="shared" si="11"/>
        <v>1 to 3 yrs</v>
      </c>
      <c r="R148" s="30">
        <f>K148/INDEX(Assumptions!$B$9:$B$13,MATCH(E148,Assumptions!$A$9:$A$13,0))</f>
        <v>0.93272727272727274</v>
      </c>
    </row>
    <row r="149" spans="1:18" x14ac:dyDescent="0.35">
      <c r="A149" s="26" t="s">
        <v>378</v>
      </c>
      <c r="B149" s="26" t="s">
        <v>253</v>
      </c>
      <c r="C149" s="26" t="s">
        <v>21</v>
      </c>
      <c r="D149" s="26" t="s">
        <v>31</v>
      </c>
      <c r="E149" s="26" t="s">
        <v>58</v>
      </c>
      <c r="F149" s="26" t="s">
        <v>67</v>
      </c>
      <c r="G149" s="27">
        <v>45225</v>
      </c>
      <c r="H149" s="27"/>
      <c r="I149" s="26"/>
      <c r="J149" s="26">
        <v>25</v>
      </c>
      <c r="K149" s="28">
        <v>389000</v>
      </c>
      <c r="L149" s="26">
        <v>3</v>
      </c>
      <c r="M149" s="14" t="str">
        <f t="shared" si="8"/>
        <v>Active</v>
      </c>
      <c r="N149" s="14" t="str">
        <f t="shared" si="9"/>
        <v/>
      </c>
      <c r="O149" s="29">
        <f>(IF(H149="",Assumptions!$B$3,H149)-G149)/365.25</f>
        <v>2.9295003422313486</v>
      </c>
      <c r="P149" s="14" t="str">
        <f t="shared" si="10"/>
        <v>25 to 34</v>
      </c>
      <c r="Q149" s="14" t="str">
        <f t="shared" si="11"/>
        <v>1 to 3 yrs</v>
      </c>
      <c r="R149" s="30">
        <f>K149/INDEX(Assumptions!$B$9:$B$13,MATCH(E149,Assumptions!$A$9:$A$13,0))</f>
        <v>1.1114285714285714</v>
      </c>
    </row>
    <row r="150" spans="1:18" x14ac:dyDescent="0.35">
      <c r="A150" s="26" t="s">
        <v>379</v>
      </c>
      <c r="B150" s="26" t="s">
        <v>143</v>
      </c>
      <c r="C150" s="26" t="s">
        <v>21</v>
      </c>
      <c r="D150" s="26" t="s">
        <v>29</v>
      </c>
      <c r="E150" s="26" t="s">
        <v>59</v>
      </c>
      <c r="F150" s="26" t="s">
        <v>65</v>
      </c>
      <c r="G150" s="27">
        <v>45239</v>
      </c>
      <c r="H150" s="27">
        <v>45978</v>
      </c>
      <c r="I150" s="26" t="s">
        <v>147</v>
      </c>
      <c r="J150" s="26">
        <v>27</v>
      </c>
      <c r="K150" s="28">
        <v>465000</v>
      </c>
      <c r="L150" s="26">
        <v>3</v>
      </c>
      <c r="M150" s="14" t="str">
        <f t="shared" si="8"/>
        <v>Exited</v>
      </c>
      <c r="N150" s="14" t="str">
        <f t="shared" si="9"/>
        <v>Voluntary</v>
      </c>
      <c r="O150" s="29">
        <f>(IF(H150="",Assumptions!$B$3,H150)-G150)/365.25</f>
        <v>2.023271731690623</v>
      </c>
      <c r="P150" s="14" t="str">
        <f t="shared" si="10"/>
        <v>25 to 34</v>
      </c>
      <c r="Q150" s="14" t="str">
        <f t="shared" si="11"/>
        <v>1 to 3 yrs</v>
      </c>
      <c r="R150" s="30">
        <f>K150/INDEX(Assumptions!$B$9:$B$13,MATCH(E150,Assumptions!$A$9:$A$13,0))</f>
        <v>0.84545454545454546</v>
      </c>
    </row>
    <row r="151" spans="1:18" x14ac:dyDescent="0.35">
      <c r="A151" s="26" t="s">
        <v>380</v>
      </c>
      <c r="B151" s="26" t="s">
        <v>381</v>
      </c>
      <c r="C151" s="26" t="s">
        <v>20</v>
      </c>
      <c r="D151" s="26" t="s">
        <v>29</v>
      </c>
      <c r="E151" s="26" t="s">
        <v>58</v>
      </c>
      <c r="F151" s="26" t="s">
        <v>69</v>
      </c>
      <c r="G151" s="27">
        <v>45239</v>
      </c>
      <c r="H151" s="27"/>
      <c r="I151" s="26"/>
      <c r="J151" s="26">
        <v>24</v>
      </c>
      <c r="K151" s="28">
        <v>361000</v>
      </c>
      <c r="L151" s="26">
        <v>4</v>
      </c>
      <c r="M151" s="14" t="str">
        <f t="shared" si="8"/>
        <v>Active</v>
      </c>
      <c r="N151" s="14" t="str">
        <f t="shared" si="9"/>
        <v/>
      </c>
      <c r="O151" s="29">
        <f>(IF(H151="",Assumptions!$B$3,H151)-G151)/365.25</f>
        <v>2.8911704312114992</v>
      </c>
      <c r="P151" s="14" t="str">
        <f t="shared" si="10"/>
        <v>Under 25</v>
      </c>
      <c r="Q151" s="14" t="str">
        <f t="shared" si="11"/>
        <v>1 to 3 yrs</v>
      </c>
      <c r="R151" s="30">
        <f>K151/INDEX(Assumptions!$B$9:$B$13,MATCH(E151,Assumptions!$A$9:$A$13,0))</f>
        <v>1.0314285714285714</v>
      </c>
    </row>
    <row r="152" spans="1:18" x14ac:dyDescent="0.35">
      <c r="A152" s="26" t="s">
        <v>382</v>
      </c>
      <c r="B152" s="26" t="s">
        <v>383</v>
      </c>
      <c r="C152" s="26" t="s">
        <v>21</v>
      </c>
      <c r="D152" s="26" t="s">
        <v>35</v>
      </c>
      <c r="E152" s="26" t="s">
        <v>61</v>
      </c>
      <c r="F152" s="26" t="s">
        <v>69</v>
      </c>
      <c r="G152" s="27">
        <v>45251</v>
      </c>
      <c r="H152" s="27"/>
      <c r="I152" s="26"/>
      <c r="J152" s="26">
        <v>38</v>
      </c>
      <c r="K152" s="28">
        <v>1856000</v>
      </c>
      <c r="L152" s="26">
        <v>3</v>
      </c>
      <c r="M152" s="14" t="str">
        <f t="shared" si="8"/>
        <v>Active</v>
      </c>
      <c r="N152" s="14" t="str">
        <f t="shared" si="9"/>
        <v/>
      </c>
      <c r="O152" s="29">
        <f>(IF(H152="",Assumptions!$B$3,H152)-G152)/365.25</f>
        <v>2.8583162217659139</v>
      </c>
      <c r="P152" s="14" t="str">
        <f t="shared" si="10"/>
        <v>35 to 44</v>
      </c>
      <c r="Q152" s="14" t="str">
        <f t="shared" si="11"/>
        <v>1 to 3 yrs</v>
      </c>
      <c r="R152" s="30">
        <f>K152/INDEX(Assumptions!$B$9:$B$13,MATCH(E152,Assumptions!$A$9:$A$13,0))</f>
        <v>1.1248484848484848</v>
      </c>
    </row>
    <row r="153" spans="1:18" x14ac:dyDescent="0.35">
      <c r="A153" s="26" t="s">
        <v>384</v>
      </c>
      <c r="B153" s="26" t="s">
        <v>385</v>
      </c>
      <c r="C153" s="26" t="s">
        <v>21</v>
      </c>
      <c r="D153" s="26" t="s">
        <v>30</v>
      </c>
      <c r="E153" s="26" t="s">
        <v>59</v>
      </c>
      <c r="F153" s="26" t="s">
        <v>68</v>
      </c>
      <c r="G153" s="27">
        <v>45253</v>
      </c>
      <c r="H153" s="27"/>
      <c r="I153" s="26"/>
      <c r="J153" s="26">
        <v>25</v>
      </c>
      <c r="K153" s="28">
        <v>405000</v>
      </c>
      <c r="L153" s="26">
        <v>3</v>
      </c>
      <c r="M153" s="14" t="str">
        <f t="shared" si="8"/>
        <v>Active</v>
      </c>
      <c r="N153" s="14" t="str">
        <f t="shared" si="9"/>
        <v/>
      </c>
      <c r="O153" s="29">
        <f>(IF(H153="",Assumptions!$B$3,H153)-G153)/365.25</f>
        <v>2.8528405201916494</v>
      </c>
      <c r="P153" s="14" t="str">
        <f t="shared" si="10"/>
        <v>25 to 34</v>
      </c>
      <c r="Q153" s="14" t="str">
        <f t="shared" si="11"/>
        <v>1 to 3 yrs</v>
      </c>
      <c r="R153" s="30">
        <f>K153/INDEX(Assumptions!$B$9:$B$13,MATCH(E153,Assumptions!$A$9:$A$13,0))</f>
        <v>0.73636363636363633</v>
      </c>
    </row>
    <row r="154" spans="1:18" x14ac:dyDescent="0.35">
      <c r="A154" s="26" t="s">
        <v>386</v>
      </c>
      <c r="B154" s="26" t="s">
        <v>387</v>
      </c>
      <c r="C154" s="26" t="s">
        <v>20</v>
      </c>
      <c r="D154" s="26" t="s">
        <v>29</v>
      </c>
      <c r="E154" s="26" t="s">
        <v>58</v>
      </c>
      <c r="F154" s="26" t="s">
        <v>66</v>
      </c>
      <c r="G154" s="27">
        <v>45256</v>
      </c>
      <c r="H154" s="27"/>
      <c r="I154" s="26"/>
      <c r="J154" s="26">
        <v>24</v>
      </c>
      <c r="K154" s="28">
        <v>351000</v>
      </c>
      <c r="L154" s="26">
        <v>4</v>
      </c>
      <c r="M154" s="14" t="str">
        <f t="shared" si="8"/>
        <v>Active</v>
      </c>
      <c r="N154" s="14" t="str">
        <f t="shared" si="9"/>
        <v/>
      </c>
      <c r="O154" s="29">
        <f>(IF(H154="",Assumptions!$B$3,H154)-G154)/365.25</f>
        <v>2.8446269678302532</v>
      </c>
      <c r="P154" s="14" t="str">
        <f t="shared" si="10"/>
        <v>Under 25</v>
      </c>
      <c r="Q154" s="14" t="str">
        <f t="shared" si="11"/>
        <v>1 to 3 yrs</v>
      </c>
      <c r="R154" s="30">
        <f>K154/INDEX(Assumptions!$B$9:$B$13,MATCH(E154,Assumptions!$A$9:$A$13,0))</f>
        <v>1.0028571428571429</v>
      </c>
    </row>
    <row r="155" spans="1:18" x14ac:dyDescent="0.35">
      <c r="A155" s="26" t="s">
        <v>388</v>
      </c>
      <c r="B155" s="26" t="s">
        <v>389</v>
      </c>
      <c r="C155" s="26" t="s">
        <v>20</v>
      </c>
      <c r="D155" s="26" t="s">
        <v>34</v>
      </c>
      <c r="E155" s="26" t="s">
        <v>60</v>
      </c>
      <c r="F155" s="26" t="s">
        <v>67</v>
      </c>
      <c r="G155" s="27">
        <v>45258</v>
      </c>
      <c r="H155" s="27"/>
      <c r="I155" s="26"/>
      <c r="J155" s="26">
        <v>34</v>
      </c>
      <c r="K155" s="28">
        <v>814000</v>
      </c>
      <c r="L155" s="26">
        <v>3</v>
      </c>
      <c r="M155" s="14" t="str">
        <f t="shared" si="8"/>
        <v>Active</v>
      </c>
      <c r="N155" s="14" t="str">
        <f t="shared" si="9"/>
        <v/>
      </c>
      <c r="O155" s="29">
        <f>(IF(H155="",Assumptions!$B$3,H155)-G155)/365.25</f>
        <v>2.839151266255989</v>
      </c>
      <c r="P155" s="14" t="str">
        <f t="shared" si="10"/>
        <v>25 to 34</v>
      </c>
      <c r="Q155" s="14" t="str">
        <f t="shared" si="11"/>
        <v>1 to 3 yrs</v>
      </c>
      <c r="R155" s="30">
        <f>K155/INDEX(Assumptions!$B$9:$B$13,MATCH(E155,Assumptions!$A$9:$A$13,0))</f>
        <v>0.85684210526315785</v>
      </c>
    </row>
    <row r="156" spans="1:18" x14ac:dyDescent="0.35">
      <c r="A156" s="26" t="s">
        <v>390</v>
      </c>
      <c r="B156" s="26" t="s">
        <v>391</v>
      </c>
      <c r="C156" s="26" t="s">
        <v>20</v>
      </c>
      <c r="D156" s="26" t="s">
        <v>29</v>
      </c>
      <c r="E156" s="26" t="s">
        <v>58</v>
      </c>
      <c r="F156" s="26" t="s">
        <v>68</v>
      </c>
      <c r="G156" s="27">
        <v>45259</v>
      </c>
      <c r="H156" s="27"/>
      <c r="I156" s="26"/>
      <c r="J156" s="26">
        <v>24</v>
      </c>
      <c r="K156" s="28">
        <v>336000</v>
      </c>
      <c r="L156" s="26">
        <v>2</v>
      </c>
      <c r="M156" s="14" t="str">
        <f t="shared" si="8"/>
        <v>Active</v>
      </c>
      <c r="N156" s="14" t="str">
        <f t="shared" si="9"/>
        <v/>
      </c>
      <c r="O156" s="29">
        <f>(IF(H156="",Assumptions!$B$3,H156)-G156)/365.25</f>
        <v>2.8364134154688569</v>
      </c>
      <c r="P156" s="14" t="str">
        <f t="shared" si="10"/>
        <v>Under 25</v>
      </c>
      <c r="Q156" s="14" t="str">
        <f t="shared" si="11"/>
        <v>1 to 3 yrs</v>
      </c>
      <c r="R156" s="30">
        <f>K156/INDEX(Assumptions!$B$9:$B$13,MATCH(E156,Assumptions!$A$9:$A$13,0))</f>
        <v>0.96</v>
      </c>
    </row>
    <row r="157" spans="1:18" x14ac:dyDescent="0.35">
      <c r="A157" s="26" t="s">
        <v>392</v>
      </c>
      <c r="B157" s="26" t="s">
        <v>393</v>
      </c>
      <c r="C157" s="26" t="s">
        <v>21</v>
      </c>
      <c r="D157" s="26" t="s">
        <v>31</v>
      </c>
      <c r="E157" s="26" t="s">
        <v>61</v>
      </c>
      <c r="F157" s="26" t="s">
        <v>65</v>
      </c>
      <c r="G157" s="27">
        <v>45259</v>
      </c>
      <c r="H157" s="27"/>
      <c r="I157" s="26"/>
      <c r="J157" s="26">
        <v>37</v>
      </c>
      <c r="K157" s="28">
        <v>1910000</v>
      </c>
      <c r="L157" s="26">
        <v>3</v>
      </c>
      <c r="M157" s="14" t="str">
        <f t="shared" si="8"/>
        <v>Active</v>
      </c>
      <c r="N157" s="14" t="str">
        <f t="shared" si="9"/>
        <v/>
      </c>
      <c r="O157" s="29">
        <f>(IF(H157="",Assumptions!$B$3,H157)-G157)/365.25</f>
        <v>2.8364134154688569</v>
      </c>
      <c r="P157" s="14" t="str">
        <f t="shared" si="10"/>
        <v>35 to 44</v>
      </c>
      <c r="Q157" s="14" t="str">
        <f t="shared" si="11"/>
        <v>1 to 3 yrs</v>
      </c>
      <c r="R157" s="30">
        <f>K157/INDEX(Assumptions!$B$9:$B$13,MATCH(E157,Assumptions!$A$9:$A$13,0))</f>
        <v>1.1575757575757575</v>
      </c>
    </row>
    <row r="158" spans="1:18" x14ac:dyDescent="0.35">
      <c r="A158" s="26" t="s">
        <v>394</v>
      </c>
      <c r="B158" s="26" t="s">
        <v>229</v>
      </c>
      <c r="C158" s="26" t="s">
        <v>21</v>
      </c>
      <c r="D158" s="26" t="s">
        <v>33</v>
      </c>
      <c r="E158" s="26" t="s">
        <v>58</v>
      </c>
      <c r="F158" s="26" t="s">
        <v>68</v>
      </c>
      <c r="G158" s="27">
        <v>45267</v>
      </c>
      <c r="H158" s="27"/>
      <c r="I158" s="26"/>
      <c r="J158" s="26">
        <v>23</v>
      </c>
      <c r="K158" s="28">
        <v>345000</v>
      </c>
      <c r="L158" s="26">
        <v>4</v>
      </c>
      <c r="M158" s="14" t="str">
        <f t="shared" si="8"/>
        <v>Active</v>
      </c>
      <c r="N158" s="14" t="str">
        <f t="shared" si="9"/>
        <v/>
      </c>
      <c r="O158" s="29">
        <f>(IF(H158="",Assumptions!$B$3,H158)-G158)/365.25</f>
        <v>2.8145106091718</v>
      </c>
      <c r="P158" s="14" t="str">
        <f t="shared" si="10"/>
        <v>Under 25</v>
      </c>
      <c r="Q158" s="14" t="str">
        <f t="shared" si="11"/>
        <v>1 to 3 yrs</v>
      </c>
      <c r="R158" s="30">
        <f>K158/INDEX(Assumptions!$B$9:$B$13,MATCH(E158,Assumptions!$A$9:$A$13,0))</f>
        <v>0.98571428571428577</v>
      </c>
    </row>
    <row r="159" spans="1:18" x14ac:dyDescent="0.35">
      <c r="A159" s="26" t="s">
        <v>395</v>
      </c>
      <c r="B159" s="26" t="s">
        <v>396</v>
      </c>
      <c r="C159" s="26" t="s">
        <v>20</v>
      </c>
      <c r="D159" s="26" t="s">
        <v>31</v>
      </c>
      <c r="E159" s="26" t="s">
        <v>58</v>
      </c>
      <c r="F159" s="26" t="s">
        <v>66</v>
      </c>
      <c r="G159" s="27">
        <v>45287</v>
      </c>
      <c r="H159" s="27"/>
      <c r="I159" s="26"/>
      <c r="J159" s="26">
        <v>23</v>
      </c>
      <c r="K159" s="28">
        <v>356000</v>
      </c>
      <c r="L159" s="26">
        <v>3</v>
      </c>
      <c r="M159" s="14" t="str">
        <f t="shared" si="8"/>
        <v>Active</v>
      </c>
      <c r="N159" s="14" t="str">
        <f t="shared" si="9"/>
        <v/>
      </c>
      <c r="O159" s="29">
        <f>(IF(H159="",Assumptions!$B$3,H159)-G159)/365.25</f>
        <v>2.7597535934291582</v>
      </c>
      <c r="P159" s="14" t="str">
        <f t="shared" si="10"/>
        <v>Under 25</v>
      </c>
      <c r="Q159" s="14" t="str">
        <f t="shared" si="11"/>
        <v>1 to 3 yrs</v>
      </c>
      <c r="R159" s="30">
        <f>K159/INDEX(Assumptions!$B$9:$B$13,MATCH(E159,Assumptions!$A$9:$A$13,0))</f>
        <v>1.0171428571428571</v>
      </c>
    </row>
    <row r="160" spans="1:18" x14ac:dyDescent="0.35">
      <c r="A160" s="26" t="s">
        <v>397</v>
      </c>
      <c r="B160" s="26" t="s">
        <v>398</v>
      </c>
      <c r="C160" s="26" t="s">
        <v>20</v>
      </c>
      <c r="D160" s="26" t="s">
        <v>33</v>
      </c>
      <c r="E160" s="26" t="s">
        <v>60</v>
      </c>
      <c r="F160" s="26" t="s">
        <v>66</v>
      </c>
      <c r="G160" s="27">
        <v>45288</v>
      </c>
      <c r="H160" s="27"/>
      <c r="I160" s="26"/>
      <c r="J160" s="26">
        <v>35</v>
      </c>
      <c r="K160" s="28">
        <v>1020000</v>
      </c>
      <c r="L160" s="26">
        <v>4</v>
      </c>
      <c r="M160" s="14" t="str">
        <f t="shared" si="8"/>
        <v>Active</v>
      </c>
      <c r="N160" s="14" t="str">
        <f t="shared" si="9"/>
        <v/>
      </c>
      <c r="O160" s="29">
        <f>(IF(H160="",Assumptions!$B$3,H160)-G160)/365.25</f>
        <v>2.7570157426420261</v>
      </c>
      <c r="P160" s="14" t="str">
        <f t="shared" si="10"/>
        <v>35 to 44</v>
      </c>
      <c r="Q160" s="14" t="str">
        <f t="shared" si="11"/>
        <v>1 to 3 yrs</v>
      </c>
      <c r="R160" s="30">
        <f>K160/INDEX(Assumptions!$B$9:$B$13,MATCH(E160,Assumptions!$A$9:$A$13,0))</f>
        <v>1.0736842105263158</v>
      </c>
    </row>
    <row r="161" spans="1:18" x14ac:dyDescent="0.35">
      <c r="A161" s="26" t="s">
        <v>399</v>
      </c>
      <c r="B161" s="26" t="s">
        <v>400</v>
      </c>
      <c r="C161" s="26" t="s">
        <v>21</v>
      </c>
      <c r="D161" s="26" t="s">
        <v>29</v>
      </c>
      <c r="E161" s="26" t="s">
        <v>59</v>
      </c>
      <c r="F161" s="26" t="s">
        <v>65</v>
      </c>
      <c r="G161" s="27">
        <v>45293</v>
      </c>
      <c r="H161" s="27"/>
      <c r="I161" s="26"/>
      <c r="J161" s="26">
        <v>25</v>
      </c>
      <c r="K161" s="28">
        <v>570000</v>
      </c>
      <c r="L161" s="26">
        <v>2</v>
      </c>
      <c r="M161" s="14" t="str">
        <f t="shared" si="8"/>
        <v>Active</v>
      </c>
      <c r="N161" s="14" t="str">
        <f t="shared" si="9"/>
        <v/>
      </c>
      <c r="O161" s="29">
        <f>(IF(H161="",Assumptions!$B$3,H161)-G161)/365.25</f>
        <v>2.7433264887063653</v>
      </c>
      <c r="P161" s="14" t="str">
        <f t="shared" si="10"/>
        <v>25 to 34</v>
      </c>
      <c r="Q161" s="14" t="str">
        <f t="shared" si="11"/>
        <v>1 to 3 yrs</v>
      </c>
      <c r="R161" s="30">
        <f>K161/INDEX(Assumptions!$B$9:$B$13,MATCH(E161,Assumptions!$A$9:$A$13,0))</f>
        <v>1.0363636363636364</v>
      </c>
    </row>
    <row r="162" spans="1:18" x14ac:dyDescent="0.35">
      <c r="A162" s="26" t="s">
        <v>401</v>
      </c>
      <c r="B162" s="26" t="s">
        <v>402</v>
      </c>
      <c r="C162" s="26" t="s">
        <v>20</v>
      </c>
      <c r="D162" s="26" t="s">
        <v>34</v>
      </c>
      <c r="E162" s="26" t="s">
        <v>59</v>
      </c>
      <c r="F162" s="26" t="s">
        <v>68</v>
      </c>
      <c r="G162" s="27">
        <v>45299</v>
      </c>
      <c r="H162" s="27">
        <v>46233</v>
      </c>
      <c r="I162" s="26" t="s">
        <v>207</v>
      </c>
      <c r="J162" s="26">
        <v>30</v>
      </c>
      <c r="K162" s="28">
        <v>535000</v>
      </c>
      <c r="L162" s="26">
        <v>4</v>
      </c>
      <c r="M162" s="14" t="str">
        <f t="shared" si="8"/>
        <v>Exited</v>
      </c>
      <c r="N162" s="14" t="str">
        <f t="shared" si="9"/>
        <v>Voluntary</v>
      </c>
      <c r="O162" s="29">
        <f>(IF(H162="",Assumptions!$B$3,H162)-G162)/365.25</f>
        <v>2.5571526351813825</v>
      </c>
      <c r="P162" s="14" t="str">
        <f t="shared" si="10"/>
        <v>25 to 34</v>
      </c>
      <c r="Q162" s="14" t="str">
        <f t="shared" si="11"/>
        <v>1 to 3 yrs</v>
      </c>
      <c r="R162" s="30">
        <f>K162/INDEX(Assumptions!$B$9:$B$13,MATCH(E162,Assumptions!$A$9:$A$13,0))</f>
        <v>0.97272727272727277</v>
      </c>
    </row>
    <row r="163" spans="1:18" x14ac:dyDescent="0.35">
      <c r="A163" s="26" t="s">
        <v>403</v>
      </c>
      <c r="B163" s="26" t="s">
        <v>404</v>
      </c>
      <c r="C163" s="26" t="s">
        <v>21</v>
      </c>
      <c r="D163" s="26" t="s">
        <v>31</v>
      </c>
      <c r="E163" s="26" t="s">
        <v>60</v>
      </c>
      <c r="F163" s="26" t="s">
        <v>69</v>
      </c>
      <c r="G163" s="27">
        <v>45325</v>
      </c>
      <c r="H163" s="27"/>
      <c r="I163" s="26"/>
      <c r="J163" s="26">
        <v>36</v>
      </c>
      <c r="K163" s="28">
        <v>1139000</v>
      </c>
      <c r="L163" s="26">
        <v>3</v>
      </c>
      <c r="M163" s="14" t="str">
        <f t="shared" si="8"/>
        <v>Active</v>
      </c>
      <c r="N163" s="14" t="str">
        <f t="shared" si="9"/>
        <v/>
      </c>
      <c r="O163" s="29">
        <f>(IF(H163="",Assumptions!$B$3,H163)-G163)/365.25</f>
        <v>2.6557152635181382</v>
      </c>
      <c r="P163" s="14" t="str">
        <f t="shared" si="10"/>
        <v>35 to 44</v>
      </c>
      <c r="Q163" s="14" t="str">
        <f t="shared" si="11"/>
        <v>1 to 3 yrs</v>
      </c>
      <c r="R163" s="30">
        <f>K163/INDEX(Assumptions!$B$9:$B$13,MATCH(E163,Assumptions!$A$9:$A$13,0))</f>
        <v>1.1989473684210525</v>
      </c>
    </row>
    <row r="164" spans="1:18" x14ac:dyDescent="0.35">
      <c r="A164" s="26" t="s">
        <v>405</v>
      </c>
      <c r="B164" s="26" t="s">
        <v>406</v>
      </c>
      <c r="C164" s="26" t="s">
        <v>20</v>
      </c>
      <c r="D164" s="26" t="s">
        <v>30</v>
      </c>
      <c r="E164" s="26" t="s">
        <v>59</v>
      </c>
      <c r="F164" s="26" t="s">
        <v>65</v>
      </c>
      <c r="G164" s="27">
        <v>45337</v>
      </c>
      <c r="H164" s="27"/>
      <c r="I164" s="26"/>
      <c r="J164" s="26">
        <v>30</v>
      </c>
      <c r="K164" s="28">
        <v>491000</v>
      </c>
      <c r="L164" s="26">
        <v>4</v>
      </c>
      <c r="M164" s="14" t="str">
        <f t="shared" si="8"/>
        <v>Active</v>
      </c>
      <c r="N164" s="14" t="str">
        <f t="shared" si="9"/>
        <v/>
      </c>
      <c r="O164" s="29">
        <f>(IF(H164="",Assumptions!$B$3,H164)-G164)/365.25</f>
        <v>2.622861054072553</v>
      </c>
      <c r="P164" s="14" t="str">
        <f t="shared" si="10"/>
        <v>25 to 34</v>
      </c>
      <c r="Q164" s="14" t="str">
        <f t="shared" si="11"/>
        <v>1 to 3 yrs</v>
      </c>
      <c r="R164" s="30">
        <f>K164/INDEX(Assumptions!$B$9:$B$13,MATCH(E164,Assumptions!$A$9:$A$13,0))</f>
        <v>0.8927272727272727</v>
      </c>
    </row>
    <row r="165" spans="1:18" x14ac:dyDescent="0.35">
      <c r="A165" s="26" t="s">
        <v>407</v>
      </c>
      <c r="B165" s="26" t="s">
        <v>408</v>
      </c>
      <c r="C165" s="26" t="s">
        <v>21</v>
      </c>
      <c r="D165" s="26" t="s">
        <v>30</v>
      </c>
      <c r="E165" s="26" t="s">
        <v>58</v>
      </c>
      <c r="F165" s="26" t="s">
        <v>65</v>
      </c>
      <c r="G165" s="27">
        <v>45348</v>
      </c>
      <c r="H165" s="27"/>
      <c r="I165" s="26"/>
      <c r="J165" s="26">
        <v>24</v>
      </c>
      <c r="K165" s="28">
        <v>269000</v>
      </c>
      <c r="L165" s="26">
        <v>3</v>
      </c>
      <c r="M165" s="14" t="str">
        <f t="shared" si="8"/>
        <v>Active</v>
      </c>
      <c r="N165" s="14" t="str">
        <f t="shared" si="9"/>
        <v/>
      </c>
      <c r="O165" s="29">
        <f>(IF(H165="",Assumptions!$B$3,H165)-G165)/365.25</f>
        <v>2.5927446954140998</v>
      </c>
      <c r="P165" s="14" t="str">
        <f t="shared" si="10"/>
        <v>Under 25</v>
      </c>
      <c r="Q165" s="14" t="str">
        <f t="shared" si="11"/>
        <v>1 to 3 yrs</v>
      </c>
      <c r="R165" s="30">
        <f>K165/INDEX(Assumptions!$B$9:$B$13,MATCH(E165,Assumptions!$A$9:$A$13,0))</f>
        <v>0.76857142857142857</v>
      </c>
    </row>
    <row r="166" spans="1:18" x14ac:dyDescent="0.35">
      <c r="A166" s="26" t="s">
        <v>409</v>
      </c>
      <c r="B166" s="26" t="s">
        <v>410</v>
      </c>
      <c r="C166" s="26" t="s">
        <v>20</v>
      </c>
      <c r="D166" s="26" t="s">
        <v>32</v>
      </c>
      <c r="E166" s="26" t="s">
        <v>59</v>
      </c>
      <c r="F166" s="26" t="s">
        <v>66</v>
      </c>
      <c r="G166" s="27">
        <v>45348</v>
      </c>
      <c r="H166" s="27"/>
      <c r="I166" s="26"/>
      <c r="J166" s="26">
        <v>29</v>
      </c>
      <c r="K166" s="28">
        <v>503000</v>
      </c>
      <c r="L166" s="26">
        <v>4</v>
      </c>
      <c r="M166" s="14" t="str">
        <f t="shared" si="8"/>
        <v>Active</v>
      </c>
      <c r="N166" s="14" t="str">
        <f t="shared" si="9"/>
        <v/>
      </c>
      <c r="O166" s="29">
        <f>(IF(H166="",Assumptions!$B$3,H166)-G166)/365.25</f>
        <v>2.5927446954140998</v>
      </c>
      <c r="P166" s="14" t="str">
        <f t="shared" si="10"/>
        <v>25 to 34</v>
      </c>
      <c r="Q166" s="14" t="str">
        <f t="shared" si="11"/>
        <v>1 to 3 yrs</v>
      </c>
      <c r="R166" s="30">
        <f>K166/INDEX(Assumptions!$B$9:$B$13,MATCH(E166,Assumptions!$A$9:$A$13,0))</f>
        <v>0.91454545454545455</v>
      </c>
    </row>
    <row r="167" spans="1:18" x14ac:dyDescent="0.35">
      <c r="A167" s="26" t="s">
        <v>411</v>
      </c>
      <c r="B167" s="26" t="s">
        <v>412</v>
      </c>
      <c r="C167" s="26" t="s">
        <v>21</v>
      </c>
      <c r="D167" s="26" t="s">
        <v>32</v>
      </c>
      <c r="E167" s="26" t="s">
        <v>59</v>
      </c>
      <c r="F167" s="26" t="s">
        <v>68</v>
      </c>
      <c r="G167" s="27">
        <v>45354</v>
      </c>
      <c r="H167" s="27"/>
      <c r="I167" s="26"/>
      <c r="J167" s="26">
        <v>29</v>
      </c>
      <c r="K167" s="28">
        <v>583000</v>
      </c>
      <c r="L167" s="26">
        <v>4</v>
      </c>
      <c r="M167" s="14" t="str">
        <f t="shared" si="8"/>
        <v>Active</v>
      </c>
      <c r="N167" s="14" t="str">
        <f t="shared" si="9"/>
        <v/>
      </c>
      <c r="O167" s="29">
        <f>(IF(H167="",Assumptions!$B$3,H167)-G167)/365.25</f>
        <v>2.5763175906913074</v>
      </c>
      <c r="P167" s="14" t="str">
        <f t="shared" si="10"/>
        <v>25 to 34</v>
      </c>
      <c r="Q167" s="14" t="str">
        <f t="shared" si="11"/>
        <v>1 to 3 yrs</v>
      </c>
      <c r="R167" s="30">
        <f>K167/INDEX(Assumptions!$B$9:$B$13,MATCH(E167,Assumptions!$A$9:$A$13,0))</f>
        <v>1.06</v>
      </c>
    </row>
    <row r="168" spans="1:18" x14ac:dyDescent="0.35">
      <c r="A168" s="26" t="s">
        <v>413</v>
      </c>
      <c r="B168" s="26" t="s">
        <v>414</v>
      </c>
      <c r="C168" s="26" t="s">
        <v>21</v>
      </c>
      <c r="D168" s="26" t="s">
        <v>29</v>
      </c>
      <c r="E168" s="26" t="s">
        <v>61</v>
      </c>
      <c r="F168" s="26" t="s">
        <v>67</v>
      </c>
      <c r="G168" s="27">
        <v>45363</v>
      </c>
      <c r="H168" s="27"/>
      <c r="I168" s="26"/>
      <c r="J168" s="26">
        <v>34</v>
      </c>
      <c r="K168" s="28">
        <v>1804000</v>
      </c>
      <c r="L168" s="26">
        <v>4</v>
      </c>
      <c r="M168" s="14" t="str">
        <f t="shared" si="8"/>
        <v>Active</v>
      </c>
      <c r="N168" s="14" t="str">
        <f t="shared" si="9"/>
        <v/>
      </c>
      <c r="O168" s="29">
        <f>(IF(H168="",Assumptions!$B$3,H168)-G168)/365.25</f>
        <v>2.5516769336071183</v>
      </c>
      <c r="P168" s="14" t="str">
        <f t="shared" si="10"/>
        <v>25 to 34</v>
      </c>
      <c r="Q168" s="14" t="str">
        <f t="shared" si="11"/>
        <v>1 to 3 yrs</v>
      </c>
      <c r="R168" s="30">
        <f>K168/INDEX(Assumptions!$B$9:$B$13,MATCH(E168,Assumptions!$A$9:$A$13,0))</f>
        <v>1.0933333333333333</v>
      </c>
    </row>
    <row r="169" spans="1:18" x14ac:dyDescent="0.35">
      <c r="A169" s="26" t="s">
        <v>415</v>
      </c>
      <c r="B169" s="26" t="s">
        <v>416</v>
      </c>
      <c r="C169" s="26" t="s">
        <v>21</v>
      </c>
      <c r="D169" s="26" t="s">
        <v>31</v>
      </c>
      <c r="E169" s="26" t="s">
        <v>59</v>
      </c>
      <c r="F169" s="26" t="s">
        <v>67</v>
      </c>
      <c r="G169" s="27">
        <v>45391</v>
      </c>
      <c r="H169" s="27">
        <v>46107</v>
      </c>
      <c r="I169" s="26" t="s">
        <v>147</v>
      </c>
      <c r="J169" s="26">
        <v>30</v>
      </c>
      <c r="K169" s="28">
        <v>521000</v>
      </c>
      <c r="L169" s="26">
        <v>3</v>
      </c>
      <c r="M169" s="14" t="str">
        <f t="shared" si="8"/>
        <v>Exited</v>
      </c>
      <c r="N169" s="14" t="str">
        <f t="shared" si="9"/>
        <v>Voluntary</v>
      </c>
      <c r="O169" s="29">
        <f>(IF(H169="",Assumptions!$B$3,H169)-G169)/365.25</f>
        <v>1.9603011635865846</v>
      </c>
      <c r="P169" s="14" t="str">
        <f t="shared" si="10"/>
        <v>25 to 34</v>
      </c>
      <c r="Q169" s="14" t="str">
        <f t="shared" si="11"/>
        <v>1 to 3 yrs</v>
      </c>
      <c r="R169" s="30">
        <f>K169/INDEX(Assumptions!$B$9:$B$13,MATCH(E169,Assumptions!$A$9:$A$13,0))</f>
        <v>0.94727272727272727</v>
      </c>
    </row>
    <row r="170" spans="1:18" x14ac:dyDescent="0.35">
      <c r="A170" s="26" t="s">
        <v>417</v>
      </c>
      <c r="B170" s="26" t="s">
        <v>418</v>
      </c>
      <c r="C170" s="26" t="s">
        <v>20</v>
      </c>
      <c r="D170" s="26" t="s">
        <v>35</v>
      </c>
      <c r="E170" s="26" t="s">
        <v>58</v>
      </c>
      <c r="F170" s="26" t="s">
        <v>66</v>
      </c>
      <c r="G170" s="27">
        <v>45404</v>
      </c>
      <c r="H170" s="27"/>
      <c r="I170" s="26"/>
      <c r="J170" s="26">
        <v>25</v>
      </c>
      <c r="K170" s="28">
        <v>368000</v>
      </c>
      <c r="L170" s="26">
        <v>2</v>
      </c>
      <c r="M170" s="14" t="str">
        <f t="shared" si="8"/>
        <v>Active</v>
      </c>
      <c r="N170" s="14" t="str">
        <f t="shared" si="9"/>
        <v/>
      </c>
      <c r="O170" s="29">
        <f>(IF(H170="",Assumptions!$B$3,H170)-G170)/365.25</f>
        <v>2.4394250513347022</v>
      </c>
      <c r="P170" s="14" t="str">
        <f t="shared" si="10"/>
        <v>25 to 34</v>
      </c>
      <c r="Q170" s="14" t="str">
        <f t="shared" si="11"/>
        <v>1 to 3 yrs</v>
      </c>
      <c r="R170" s="30">
        <f>K170/INDEX(Assumptions!$B$9:$B$13,MATCH(E170,Assumptions!$A$9:$A$13,0))</f>
        <v>1.0514285714285714</v>
      </c>
    </row>
    <row r="171" spans="1:18" x14ac:dyDescent="0.35">
      <c r="A171" s="26" t="s">
        <v>419</v>
      </c>
      <c r="B171" s="26" t="s">
        <v>185</v>
      </c>
      <c r="C171" s="26" t="s">
        <v>20</v>
      </c>
      <c r="D171" s="26" t="s">
        <v>30</v>
      </c>
      <c r="E171" s="26" t="s">
        <v>59</v>
      </c>
      <c r="F171" s="26" t="s">
        <v>66</v>
      </c>
      <c r="G171" s="27">
        <v>45406</v>
      </c>
      <c r="H171" s="27"/>
      <c r="I171" s="26"/>
      <c r="J171" s="26">
        <v>30</v>
      </c>
      <c r="K171" s="28">
        <v>479000</v>
      </c>
      <c r="L171" s="26">
        <v>3</v>
      </c>
      <c r="M171" s="14" t="str">
        <f t="shared" si="8"/>
        <v>Active</v>
      </c>
      <c r="N171" s="14" t="str">
        <f t="shared" si="9"/>
        <v/>
      </c>
      <c r="O171" s="29">
        <f>(IF(H171="",Assumptions!$B$3,H171)-G171)/365.25</f>
        <v>2.4339493497604381</v>
      </c>
      <c r="P171" s="14" t="str">
        <f t="shared" si="10"/>
        <v>25 to 34</v>
      </c>
      <c r="Q171" s="14" t="str">
        <f t="shared" si="11"/>
        <v>1 to 3 yrs</v>
      </c>
      <c r="R171" s="30">
        <f>K171/INDEX(Assumptions!$B$9:$B$13,MATCH(E171,Assumptions!$A$9:$A$13,0))</f>
        <v>0.87090909090909085</v>
      </c>
    </row>
    <row r="172" spans="1:18" x14ac:dyDescent="0.35">
      <c r="A172" s="26" t="s">
        <v>420</v>
      </c>
      <c r="B172" s="26" t="s">
        <v>421</v>
      </c>
      <c r="C172" s="26" t="s">
        <v>20</v>
      </c>
      <c r="D172" s="26" t="s">
        <v>31</v>
      </c>
      <c r="E172" s="26" t="s">
        <v>58</v>
      </c>
      <c r="F172" s="26" t="s">
        <v>68</v>
      </c>
      <c r="G172" s="27">
        <v>45416</v>
      </c>
      <c r="H172" s="27"/>
      <c r="I172" s="26"/>
      <c r="J172" s="26">
        <v>25</v>
      </c>
      <c r="K172" s="28">
        <v>422000</v>
      </c>
      <c r="L172" s="26">
        <v>4</v>
      </c>
      <c r="M172" s="14" t="str">
        <f t="shared" si="8"/>
        <v>Active</v>
      </c>
      <c r="N172" s="14" t="str">
        <f t="shared" si="9"/>
        <v/>
      </c>
      <c r="O172" s="29">
        <f>(IF(H172="",Assumptions!$B$3,H172)-G172)/365.25</f>
        <v>2.406570841889117</v>
      </c>
      <c r="P172" s="14" t="str">
        <f t="shared" si="10"/>
        <v>25 to 34</v>
      </c>
      <c r="Q172" s="14" t="str">
        <f t="shared" si="11"/>
        <v>1 to 3 yrs</v>
      </c>
      <c r="R172" s="30">
        <f>K172/INDEX(Assumptions!$B$9:$B$13,MATCH(E172,Assumptions!$A$9:$A$13,0))</f>
        <v>1.2057142857142857</v>
      </c>
    </row>
    <row r="173" spans="1:18" x14ac:dyDescent="0.35">
      <c r="A173" s="26" t="s">
        <v>422</v>
      </c>
      <c r="B173" s="26" t="s">
        <v>363</v>
      </c>
      <c r="C173" s="26" t="s">
        <v>20</v>
      </c>
      <c r="D173" s="26" t="s">
        <v>30</v>
      </c>
      <c r="E173" s="26" t="s">
        <v>61</v>
      </c>
      <c r="F173" s="26" t="s">
        <v>65</v>
      </c>
      <c r="G173" s="27">
        <v>45423</v>
      </c>
      <c r="H173" s="27">
        <v>46271</v>
      </c>
      <c r="I173" s="26" t="s">
        <v>214</v>
      </c>
      <c r="J173" s="26">
        <v>42</v>
      </c>
      <c r="K173" s="28">
        <v>1331000</v>
      </c>
      <c r="L173" s="26">
        <v>5</v>
      </c>
      <c r="M173" s="14" t="str">
        <f t="shared" si="8"/>
        <v>Exited</v>
      </c>
      <c r="N173" s="14" t="str">
        <f t="shared" si="9"/>
        <v>Voluntary</v>
      </c>
      <c r="O173" s="29">
        <f>(IF(H173="",Assumptions!$B$3,H173)-G173)/365.25</f>
        <v>2.321697467488022</v>
      </c>
      <c r="P173" s="14" t="str">
        <f t="shared" si="10"/>
        <v>35 to 44</v>
      </c>
      <c r="Q173" s="14" t="str">
        <f t="shared" si="11"/>
        <v>1 to 3 yrs</v>
      </c>
      <c r="R173" s="30">
        <f>K173/INDEX(Assumptions!$B$9:$B$13,MATCH(E173,Assumptions!$A$9:$A$13,0))</f>
        <v>0.80666666666666664</v>
      </c>
    </row>
    <row r="174" spans="1:18" x14ac:dyDescent="0.35">
      <c r="A174" s="26" t="s">
        <v>423</v>
      </c>
      <c r="B174" s="26" t="s">
        <v>424</v>
      </c>
      <c r="C174" s="26" t="s">
        <v>20</v>
      </c>
      <c r="D174" s="26" t="s">
        <v>30</v>
      </c>
      <c r="E174" s="26" t="s">
        <v>59</v>
      </c>
      <c r="F174" s="26" t="s">
        <v>65</v>
      </c>
      <c r="G174" s="27">
        <v>45427</v>
      </c>
      <c r="H174" s="27"/>
      <c r="I174" s="26"/>
      <c r="J174" s="26">
        <v>24</v>
      </c>
      <c r="K174" s="28">
        <v>500000</v>
      </c>
      <c r="L174" s="26">
        <v>3</v>
      </c>
      <c r="M174" s="14" t="str">
        <f t="shared" si="8"/>
        <v>Active</v>
      </c>
      <c r="N174" s="14" t="str">
        <f t="shared" si="9"/>
        <v/>
      </c>
      <c r="O174" s="29">
        <f>(IF(H174="",Assumptions!$B$3,H174)-G174)/365.25</f>
        <v>2.3764544832306638</v>
      </c>
      <c r="P174" s="14" t="str">
        <f t="shared" si="10"/>
        <v>Under 25</v>
      </c>
      <c r="Q174" s="14" t="str">
        <f t="shared" si="11"/>
        <v>1 to 3 yrs</v>
      </c>
      <c r="R174" s="30">
        <f>K174/INDEX(Assumptions!$B$9:$B$13,MATCH(E174,Assumptions!$A$9:$A$13,0))</f>
        <v>0.90909090909090906</v>
      </c>
    </row>
    <row r="175" spans="1:18" x14ac:dyDescent="0.35">
      <c r="A175" s="26" t="s">
        <v>425</v>
      </c>
      <c r="B175" s="26" t="s">
        <v>426</v>
      </c>
      <c r="C175" s="26" t="s">
        <v>20</v>
      </c>
      <c r="D175" s="26" t="s">
        <v>29</v>
      </c>
      <c r="E175" s="26" t="s">
        <v>59</v>
      </c>
      <c r="F175" s="26" t="s">
        <v>65</v>
      </c>
      <c r="G175" s="27">
        <v>45437</v>
      </c>
      <c r="H175" s="27"/>
      <c r="I175" s="26"/>
      <c r="J175" s="26">
        <v>29</v>
      </c>
      <c r="K175" s="28">
        <v>571000</v>
      </c>
      <c r="L175" s="26">
        <v>4</v>
      </c>
      <c r="M175" s="14" t="str">
        <f t="shared" si="8"/>
        <v>Active</v>
      </c>
      <c r="N175" s="14" t="str">
        <f t="shared" si="9"/>
        <v/>
      </c>
      <c r="O175" s="29">
        <f>(IF(H175="",Assumptions!$B$3,H175)-G175)/365.25</f>
        <v>2.3490759753593431</v>
      </c>
      <c r="P175" s="14" t="str">
        <f t="shared" si="10"/>
        <v>25 to 34</v>
      </c>
      <c r="Q175" s="14" t="str">
        <f t="shared" si="11"/>
        <v>1 to 3 yrs</v>
      </c>
      <c r="R175" s="30">
        <f>K175/INDEX(Assumptions!$B$9:$B$13,MATCH(E175,Assumptions!$A$9:$A$13,0))</f>
        <v>1.0381818181818181</v>
      </c>
    </row>
    <row r="176" spans="1:18" x14ac:dyDescent="0.35">
      <c r="A176" s="26" t="s">
        <v>427</v>
      </c>
      <c r="B176" s="26" t="s">
        <v>428</v>
      </c>
      <c r="C176" s="26" t="s">
        <v>21</v>
      </c>
      <c r="D176" s="26" t="s">
        <v>32</v>
      </c>
      <c r="E176" s="26" t="s">
        <v>59</v>
      </c>
      <c r="F176" s="26" t="s">
        <v>69</v>
      </c>
      <c r="G176" s="27">
        <v>45441</v>
      </c>
      <c r="H176" s="27"/>
      <c r="I176" s="26"/>
      <c r="J176" s="26">
        <v>30</v>
      </c>
      <c r="K176" s="28">
        <v>452000</v>
      </c>
      <c r="L176" s="26">
        <v>5</v>
      </c>
      <c r="M176" s="14" t="str">
        <f t="shared" si="8"/>
        <v>Active</v>
      </c>
      <c r="N176" s="14" t="str">
        <f t="shared" si="9"/>
        <v/>
      </c>
      <c r="O176" s="29">
        <f>(IF(H176="",Assumptions!$B$3,H176)-G176)/365.25</f>
        <v>2.3381245722108144</v>
      </c>
      <c r="P176" s="14" t="str">
        <f t="shared" si="10"/>
        <v>25 to 34</v>
      </c>
      <c r="Q176" s="14" t="str">
        <f t="shared" si="11"/>
        <v>1 to 3 yrs</v>
      </c>
      <c r="R176" s="30">
        <f>K176/INDEX(Assumptions!$B$9:$B$13,MATCH(E176,Assumptions!$A$9:$A$13,0))</f>
        <v>0.82181818181818178</v>
      </c>
    </row>
    <row r="177" spans="1:18" x14ac:dyDescent="0.35">
      <c r="A177" s="26" t="s">
        <v>429</v>
      </c>
      <c r="B177" s="26" t="s">
        <v>430</v>
      </c>
      <c r="C177" s="26" t="s">
        <v>21</v>
      </c>
      <c r="D177" s="26" t="s">
        <v>29</v>
      </c>
      <c r="E177" s="26" t="s">
        <v>59</v>
      </c>
      <c r="F177" s="26" t="s">
        <v>65</v>
      </c>
      <c r="G177" s="27">
        <v>45446</v>
      </c>
      <c r="H177" s="27"/>
      <c r="I177" s="26"/>
      <c r="J177" s="26">
        <v>29</v>
      </c>
      <c r="K177" s="28">
        <v>515000</v>
      </c>
      <c r="L177" s="26">
        <v>3</v>
      </c>
      <c r="M177" s="14" t="str">
        <f t="shared" si="8"/>
        <v>Active</v>
      </c>
      <c r="N177" s="14" t="str">
        <f t="shared" si="9"/>
        <v/>
      </c>
      <c r="O177" s="29">
        <f>(IF(H177="",Assumptions!$B$3,H177)-G177)/365.25</f>
        <v>2.324435318275154</v>
      </c>
      <c r="P177" s="14" t="str">
        <f t="shared" si="10"/>
        <v>25 to 34</v>
      </c>
      <c r="Q177" s="14" t="str">
        <f t="shared" si="11"/>
        <v>1 to 3 yrs</v>
      </c>
      <c r="R177" s="30">
        <f>K177/INDEX(Assumptions!$B$9:$B$13,MATCH(E177,Assumptions!$A$9:$A$13,0))</f>
        <v>0.9363636363636364</v>
      </c>
    </row>
    <row r="178" spans="1:18" x14ac:dyDescent="0.35">
      <c r="A178" s="26" t="s">
        <v>431</v>
      </c>
      <c r="B178" s="26" t="s">
        <v>432</v>
      </c>
      <c r="C178" s="26" t="s">
        <v>21</v>
      </c>
      <c r="D178" s="26" t="s">
        <v>31</v>
      </c>
      <c r="E178" s="26" t="s">
        <v>59</v>
      </c>
      <c r="F178" s="26" t="s">
        <v>68</v>
      </c>
      <c r="G178" s="27">
        <v>45452</v>
      </c>
      <c r="H178" s="27"/>
      <c r="I178" s="26"/>
      <c r="J178" s="26">
        <v>28</v>
      </c>
      <c r="K178" s="28">
        <v>598000</v>
      </c>
      <c r="L178" s="26">
        <v>5</v>
      </c>
      <c r="M178" s="14" t="str">
        <f t="shared" si="8"/>
        <v>Active</v>
      </c>
      <c r="N178" s="14" t="str">
        <f t="shared" si="9"/>
        <v/>
      </c>
      <c r="O178" s="29">
        <f>(IF(H178="",Assumptions!$B$3,H178)-G178)/365.25</f>
        <v>2.3080082135523612</v>
      </c>
      <c r="P178" s="14" t="str">
        <f t="shared" si="10"/>
        <v>25 to 34</v>
      </c>
      <c r="Q178" s="14" t="str">
        <f t="shared" si="11"/>
        <v>1 to 3 yrs</v>
      </c>
      <c r="R178" s="30">
        <f>K178/INDEX(Assumptions!$B$9:$B$13,MATCH(E178,Assumptions!$A$9:$A$13,0))</f>
        <v>1.0872727272727272</v>
      </c>
    </row>
    <row r="179" spans="1:18" x14ac:dyDescent="0.35">
      <c r="A179" s="26" t="s">
        <v>433</v>
      </c>
      <c r="B179" s="26" t="s">
        <v>389</v>
      </c>
      <c r="C179" s="26" t="s">
        <v>20</v>
      </c>
      <c r="D179" s="26" t="s">
        <v>29</v>
      </c>
      <c r="E179" s="26" t="s">
        <v>59</v>
      </c>
      <c r="F179" s="26" t="s">
        <v>68</v>
      </c>
      <c r="G179" s="27">
        <v>45454</v>
      </c>
      <c r="H179" s="27"/>
      <c r="I179" s="26"/>
      <c r="J179" s="26">
        <v>29</v>
      </c>
      <c r="K179" s="28">
        <v>515000</v>
      </c>
      <c r="L179" s="26">
        <v>4</v>
      </c>
      <c r="M179" s="14" t="str">
        <f t="shared" si="8"/>
        <v>Active</v>
      </c>
      <c r="N179" s="14" t="str">
        <f t="shared" si="9"/>
        <v/>
      </c>
      <c r="O179" s="29">
        <f>(IF(H179="",Assumptions!$B$3,H179)-G179)/365.25</f>
        <v>2.3025325119780971</v>
      </c>
      <c r="P179" s="14" t="str">
        <f t="shared" si="10"/>
        <v>25 to 34</v>
      </c>
      <c r="Q179" s="14" t="str">
        <f t="shared" si="11"/>
        <v>1 to 3 yrs</v>
      </c>
      <c r="R179" s="30">
        <f>K179/INDEX(Assumptions!$B$9:$B$13,MATCH(E179,Assumptions!$A$9:$A$13,0))</f>
        <v>0.9363636363636364</v>
      </c>
    </row>
    <row r="180" spans="1:18" x14ac:dyDescent="0.35">
      <c r="A180" s="26" t="s">
        <v>434</v>
      </c>
      <c r="B180" s="26" t="s">
        <v>303</v>
      </c>
      <c r="C180" s="26" t="s">
        <v>20</v>
      </c>
      <c r="D180" s="26" t="s">
        <v>33</v>
      </c>
      <c r="E180" s="26" t="s">
        <v>61</v>
      </c>
      <c r="F180" s="26" t="s">
        <v>66</v>
      </c>
      <c r="G180" s="27">
        <v>45456</v>
      </c>
      <c r="H180" s="27"/>
      <c r="I180" s="26"/>
      <c r="J180" s="26">
        <v>37</v>
      </c>
      <c r="K180" s="28">
        <v>1569000</v>
      </c>
      <c r="L180" s="26">
        <v>4</v>
      </c>
      <c r="M180" s="14" t="str">
        <f t="shared" si="8"/>
        <v>Active</v>
      </c>
      <c r="N180" s="14" t="str">
        <f t="shared" si="9"/>
        <v/>
      </c>
      <c r="O180" s="29">
        <f>(IF(H180="",Assumptions!$B$3,H180)-G180)/365.25</f>
        <v>2.2970568104038329</v>
      </c>
      <c r="P180" s="14" t="str">
        <f t="shared" si="10"/>
        <v>35 to 44</v>
      </c>
      <c r="Q180" s="14" t="str">
        <f t="shared" si="11"/>
        <v>1 to 3 yrs</v>
      </c>
      <c r="R180" s="30">
        <f>K180/INDEX(Assumptions!$B$9:$B$13,MATCH(E180,Assumptions!$A$9:$A$13,0))</f>
        <v>0.95090909090909093</v>
      </c>
    </row>
    <row r="181" spans="1:18" x14ac:dyDescent="0.35">
      <c r="A181" s="26" t="s">
        <v>435</v>
      </c>
      <c r="B181" s="26" t="s">
        <v>436</v>
      </c>
      <c r="C181" s="26" t="s">
        <v>21</v>
      </c>
      <c r="D181" s="26" t="s">
        <v>30</v>
      </c>
      <c r="E181" s="26" t="s">
        <v>59</v>
      </c>
      <c r="F181" s="26" t="s">
        <v>65</v>
      </c>
      <c r="G181" s="27">
        <v>45464</v>
      </c>
      <c r="H181" s="27"/>
      <c r="I181" s="26"/>
      <c r="J181" s="26">
        <v>26</v>
      </c>
      <c r="K181" s="28">
        <v>493000</v>
      </c>
      <c r="L181" s="26">
        <v>3</v>
      </c>
      <c r="M181" s="14" t="str">
        <f t="shared" si="8"/>
        <v>Active</v>
      </c>
      <c r="N181" s="14" t="str">
        <f t="shared" si="9"/>
        <v/>
      </c>
      <c r="O181" s="29">
        <f>(IF(H181="",Assumptions!$B$3,H181)-G181)/365.25</f>
        <v>2.2751540041067764</v>
      </c>
      <c r="P181" s="14" t="str">
        <f t="shared" si="10"/>
        <v>25 to 34</v>
      </c>
      <c r="Q181" s="14" t="str">
        <f t="shared" si="11"/>
        <v>1 to 3 yrs</v>
      </c>
      <c r="R181" s="30">
        <f>K181/INDEX(Assumptions!$B$9:$B$13,MATCH(E181,Assumptions!$A$9:$A$13,0))</f>
        <v>0.89636363636363636</v>
      </c>
    </row>
    <row r="182" spans="1:18" x14ac:dyDescent="0.35">
      <c r="A182" s="26" t="s">
        <v>437</v>
      </c>
      <c r="B182" s="26" t="s">
        <v>438</v>
      </c>
      <c r="C182" s="26" t="s">
        <v>20</v>
      </c>
      <c r="D182" s="26" t="s">
        <v>29</v>
      </c>
      <c r="E182" s="26" t="s">
        <v>61</v>
      </c>
      <c r="F182" s="26" t="s">
        <v>65</v>
      </c>
      <c r="G182" s="27">
        <v>45473</v>
      </c>
      <c r="H182" s="27">
        <v>45937</v>
      </c>
      <c r="I182" s="26" t="s">
        <v>214</v>
      </c>
      <c r="J182" s="26">
        <v>38</v>
      </c>
      <c r="K182" s="28">
        <v>1587000</v>
      </c>
      <c r="L182" s="26">
        <v>3</v>
      </c>
      <c r="M182" s="14" t="str">
        <f t="shared" si="8"/>
        <v>Exited</v>
      </c>
      <c r="N182" s="14" t="str">
        <f t="shared" si="9"/>
        <v>Voluntary</v>
      </c>
      <c r="O182" s="29">
        <f>(IF(H182="",Assumptions!$B$3,H182)-G182)/365.25</f>
        <v>1.270362765229295</v>
      </c>
      <c r="P182" s="14" t="str">
        <f t="shared" si="10"/>
        <v>35 to 44</v>
      </c>
      <c r="Q182" s="14" t="str">
        <f t="shared" si="11"/>
        <v>1 to 3 yrs</v>
      </c>
      <c r="R182" s="30">
        <f>K182/INDEX(Assumptions!$B$9:$B$13,MATCH(E182,Assumptions!$A$9:$A$13,0))</f>
        <v>0.96181818181818179</v>
      </c>
    </row>
    <row r="183" spans="1:18" x14ac:dyDescent="0.35">
      <c r="A183" s="26" t="s">
        <v>439</v>
      </c>
      <c r="B183" s="26" t="s">
        <v>440</v>
      </c>
      <c r="C183" s="26" t="s">
        <v>21</v>
      </c>
      <c r="D183" s="26" t="s">
        <v>30</v>
      </c>
      <c r="E183" s="26" t="s">
        <v>59</v>
      </c>
      <c r="F183" s="26" t="s">
        <v>65</v>
      </c>
      <c r="G183" s="27">
        <v>45479</v>
      </c>
      <c r="H183" s="27">
        <v>46231</v>
      </c>
      <c r="I183" s="26" t="s">
        <v>147</v>
      </c>
      <c r="J183" s="26">
        <v>26</v>
      </c>
      <c r="K183" s="28">
        <v>465000</v>
      </c>
      <c r="L183" s="26">
        <v>4</v>
      </c>
      <c r="M183" s="14" t="str">
        <f t="shared" si="8"/>
        <v>Exited</v>
      </c>
      <c r="N183" s="14" t="str">
        <f t="shared" si="9"/>
        <v>Voluntary</v>
      </c>
      <c r="O183" s="29">
        <f>(IF(H183="",Assumptions!$B$3,H183)-G183)/365.25</f>
        <v>2.0588637919233403</v>
      </c>
      <c r="P183" s="14" t="str">
        <f t="shared" si="10"/>
        <v>25 to 34</v>
      </c>
      <c r="Q183" s="14" t="str">
        <f t="shared" si="11"/>
        <v>1 to 3 yrs</v>
      </c>
      <c r="R183" s="30">
        <f>K183/INDEX(Assumptions!$B$9:$B$13,MATCH(E183,Assumptions!$A$9:$A$13,0))</f>
        <v>0.84545454545454546</v>
      </c>
    </row>
    <row r="184" spans="1:18" x14ac:dyDescent="0.35">
      <c r="A184" s="26" t="s">
        <v>441</v>
      </c>
      <c r="B184" s="26" t="s">
        <v>442</v>
      </c>
      <c r="C184" s="26" t="s">
        <v>21</v>
      </c>
      <c r="D184" s="26" t="s">
        <v>32</v>
      </c>
      <c r="E184" s="26" t="s">
        <v>61</v>
      </c>
      <c r="F184" s="26" t="s">
        <v>67</v>
      </c>
      <c r="G184" s="27">
        <v>45486</v>
      </c>
      <c r="H184" s="27"/>
      <c r="I184" s="26"/>
      <c r="J184" s="26">
        <v>34</v>
      </c>
      <c r="K184" s="28">
        <v>1750000</v>
      </c>
      <c r="L184" s="26">
        <v>3</v>
      </c>
      <c r="M184" s="14" t="str">
        <f t="shared" si="8"/>
        <v>Active</v>
      </c>
      <c r="N184" s="14" t="str">
        <f t="shared" si="9"/>
        <v/>
      </c>
      <c r="O184" s="29">
        <f>(IF(H184="",Assumptions!$B$3,H184)-G184)/365.25</f>
        <v>2.21492128678987</v>
      </c>
      <c r="P184" s="14" t="str">
        <f t="shared" si="10"/>
        <v>25 to 34</v>
      </c>
      <c r="Q184" s="14" t="str">
        <f t="shared" si="11"/>
        <v>1 to 3 yrs</v>
      </c>
      <c r="R184" s="30">
        <f>K184/INDEX(Assumptions!$B$9:$B$13,MATCH(E184,Assumptions!$A$9:$A$13,0))</f>
        <v>1.0606060606060606</v>
      </c>
    </row>
    <row r="185" spans="1:18" x14ac:dyDescent="0.35">
      <c r="A185" s="26" t="s">
        <v>443</v>
      </c>
      <c r="B185" s="26" t="s">
        <v>229</v>
      </c>
      <c r="C185" s="26" t="s">
        <v>21</v>
      </c>
      <c r="D185" s="26" t="s">
        <v>33</v>
      </c>
      <c r="E185" s="26" t="s">
        <v>59</v>
      </c>
      <c r="F185" s="26" t="s">
        <v>66</v>
      </c>
      <c r="G185" s="27">
        <v>45492</v>
      </c>
      <c r="H185" s="27">
        <v>45994</v>
      </c>
      <c r="I185" s="26" t="s">
        <v>147</v>
      </c>
      <c r="J185" s="26">
        <v>28</v>
      </c>
      <c r="K185" s="28">
        <v>492000</v>
      </c>
      <c r="L185" s="26">
        <v>5</v>
      </c>
      <c r="M185" s="14" t="str">
        <f t="shared" si="8"/>
        <v>Exited</v>
      </c>
      <c r="N185" s="14" t="str">
        <f t="shared" si="9"/>
        <v>Voluntary</v>
      </c>
      <c r="O185" s="29">
        <f>(IF(H185="",Assumptions!$B$3,H185)-G185)/365.25</f>
        <v>1.3744010951403149</v>
      </c>
      <c r="P185" s="14" t="str">
        <f t="shared" si="10"/>
        <v>25 to 34</v>
      </c>
      <c r="Q185" s="14" t="str">
        <f t="shared" si="11"/>
        <v>1 to 3 yrs</v>
      </c>
      <c r="R185" s="30">
        <f>K185/INDEX(Assumptions!$B$9:$B$13,MATCH(E185,Assumptions!$A$9:$A$13,0))</f>
        <v>0.89454545454545453</v>
      </c>
    </row>
    <row r="186" spans="1:18" x14ac:dyDescent="0.35">
      <c r="A186" s="26" t="s">
        <v>444</v>
      </c>
      <c r="B186" s="26" t="s">
        <v>445</v>
      </c>
      <c r="C186" s="26" t="s">
        <v>20</v>
      </c>
      <c r="D186" s="26" t="s">
        <v>30</v>
      </c>
      <c r="E186" s="26" t="s">
        <v>58</v>
      </c>
      <c r="F186" s="26" t="s">
        <v>65</v>
      </c>
      <c r="G186" s="27">
        <v>45500</v>
      </c>
      <c r="H186" s="27"/>
      <c r="I186" s="26"/>
      <c r="J186" s="26">
        <v>24</v>
      </c>
      <c r="K186" s="28">
        <v>256000</v>
      </c>
      <c r="L186" s="26">
        <v>4</v>
      </c>
      <c r="M186" s="14" t="str">
        <f t="shared" si="8"/>
        <v>Active</v>
      </c>
      <c r="N186" s="14" t="str">
        <f t="shared" si="9"/>
        <v/>
      </c>
      <c r="O186" s="29">
        <f>(IF(H186="",Assumptions!$B$3,H186)-G186)/365.25</f>
        <v>2.1765913757700206</v>
      </c>
      <c r="P186" s="14" t="str">
        <f t="shared" si="10"/>
        <v>Under 25</v>
      </c>
      <c r="Q186" s="14" t="str">
        <f t="shared" si="11"/>
        <v>1 to 3 yrs</v>
      </c>
      <c r="R186" s="30">
        <f>K186/INDEX(Assumptions!$B$9:$B$13,MATCH(E186,Assumptions!$A$9:$A$13,0))</f>
        <v>0.73142857142857143</v>
      </c>
    </row>
    <row r="187" spans="1:18" x14ac:dyDescent="0.35">
      <c r="A187" s="26" t="s">
        <v>446</v>
      </c>
      <c r="B187" s="26" t="s">
        <v>447</v>
      </c>
      <c r="C187" s="26" t="s">
        <v>21</v>
      </c>
      <c r="D187" s="26" t="s">
        <v>30</v>
      </c>
      <c r="E187" s="26" t="s">
        <v>59</v>
      </c>
      <c r="F187" s="26" t="s">
        <v>69</v>
      </c>
      <c r="G187" s="27">
        <v>45515</v>
      </c>
      <c r="H187" s="27">
        <v>46243</v>
      </c>
      <c r="I187" s="26" t="s">
        <v>176</v>
      </c>
      <c r="J187" s="26">
        <v>26</v>
      </c>
      <c r="K187" s="28">
        <v>410000</v>
      </c>
      <c r="L187" s="26">
        <v>4</v>
      </c>
      <c r="M187" s="14" t="str">
        <f t="shared" si="8"/>
        <v>Exited</v>
      </c>
      <c r="N187" s="14" t="str">
        <f t="shared" si="9"/>
        <v>Voluntary</v>
      </c>
      <c r="O187" s="29">
        <f>(IF(H187="",Assumptions!$B$3,H187)-G187)/365.25</f>
        <v>1.9931553730321698</v>
      </c>
      <c r="P187" s="14" t="str">
        <f t="shared" si="10"/>
        <v>25 to 34</v>
      </c>
      <c r="Q187" s="14" t="str">
        <f t="shared" si="11"/>
        <v>1 to 3 yrs</v>
      </c>
      <c r="R187" s="30">
        <f>K187/INDEX(Assumptions!$B$9:$B$13,MATCH(E187,Assumptions!$A$9:$A$13,0))</f>
        <v>0.74545454545454548</v>
      </c>
    </row>
    <row r="188" spans="1:18" x14ac:dyDescent="0.35">
      <c r="A188" s="26" t="s">
        <v>448</v>
      </c>
      <c r="B188" s="26" t="s">
        <v>449</v>
      </c>
      <c r="C188" s="26" t="s">
        <v>21</v>
      </c>
      <c r="D188" s="26" t="s">
        <v>33</v>
      </c>
      <c r="E188" s="26" t="s">
        <v>59</v>
      </c>
      <c r="F188" s="26" t="s">
        <v>66</v>
      </c>
      <c r="G188" s="27">
        <v>45517</v>
      </c>
      <c r="H188" s="27"/>
      <c r="I188" s="26"/>
      <c r="J188" s="26">
        <v>25</v>
      </c>
      <c r="K188" s="28">
        <v>642000</v>
      </c>
      <c r="L188" s="26">
        <v>5</v>
      </c>
      <c r="M188" s="14" t="str">
        <f t="shared" si="8"/>
        <v>Active</v>
      </c>
      <c r="N188" s="14" t="str">
        <f t="shared" si="9"/>
        <v/>
      </c>
      <c r="O188" s="29">
        <f>(IF(H188="",Assumptions!$B$3,H188)-G188)/365.25</f>
        <v>2.130047912388775</v>
      </c>
      <c r="P188" s="14" t="str">
        <f t="shared" si="10"/>
        <v>25 to 34</v>
      </c>
      <c r="Q188" s="14" t="str">
        <f t="shared" si="11"/>
        <v>1 to 3 yrs</v>
      </c>
      <c r="R188" s="30">
        <f>K188/INDEX(Assumptions!$B$9:$B$13,MATCH(E188,Assumptions!$A$9:$A$13,0))</f>
        <v>1.1672727272727272</v>
      </c>
    </row>
    <row r="189" spans="1:18" x14ac:dyDescent="0.35">
      <c r="A189" s="26" t="s">
        <v>450</v>
      </c>
      <c r="B189" s="26" t="s">
        <v>451</v>
      </c>
      <c r="C189" s="26" t="s">
        <v>21</v>
      </c>
      <c r="D189" s="26" t="s">
        <v>29</v>
      </c>
      <c r="E189" s="26" t="s">
        <v>58</v>
      </c>
      <c r="F189" s="26" t="s">
        <v>69</v>
      </c>
      <c r="G189" s="27">
        <v>45520</v>
      </c>
      <c r="H189" s="27">
        <v>46090</v>
      </c>
      <c r="I189" s="26" t="s">
        <v>214</v>
      </c>
      <c r="J189" s="26">
        <v>23</v>
      </c>
      <c r="K189" s="28">
        <v>367000</v>
      </c>
      <c r="L189" s="26">
        <v>3</v>
      </c>
      <c r="M189" s="14" t="str">
        <f t="shared" si="8"/>
        <v>Exited</v>
      </c>
      <c r="N189" s="14" t="str">
        <f t="shared" si="9"/>
        <v>Voluntary</v>
      </c>
      <c r="O189" s="29">
        <f>(IF(H189="",Assumptions!$B$3,H189)-G189)/365.25</f>
        <v>1.5605749486652978</v>
      </c>
      <c r="P189" s="14" t="str">
        <f t="shared" si="10"/>
        <v>Under 25</v>
      </c>
      <c r="Q189" s="14" t="str">
        <f t="shared" si="11"/>
        <v>1 to 3 yrs</v>
      </c>
      <c r="R189" s="30">
        <f>K189/INDEX(Assumptions!$B$9:$B$13,MATCH(E189,Assumptions!$A$9:$A$13,0))</f>
        <v>1.0485714285714285</v>
      </c>
    </row>
    <row r="190" spans="1:18" x14ac:dyDescent="0.35">
      <c r="A190" s="26" t="s">
        <v>452</v>
      </c>
      <c r="B190" s="26" t="s">
        <v>453</v>
      </c>
      <c r="C190" s="26" t="s">
        <v>21</v>
      </c>
      <c r="D190" s="26" t="s">
        <v>31</v>
      </c>
      <c r="E190" s="26" t="s">
        <v>58</v>
      </c>
      <c r="F190" s="26" t="s">
        <v>65</v>
      </c>
      <c r="G190" s="27">
        <v>45536</v>
      </c>
      <c r="H190" s="27"/>
      <c r="I190" s="26"/>
      <c r="J190" s="26">
        <v>25</v>
      </c>
      <c r="K190" s="28">
        <v>367000</v>
      </c>
      <c r="L190" s="26">
        <v>4</v>
      </c>
      <c r="M190" s="14" t="str">
        <f t="shared" si="8"/>
        <v>Active</v>
      </c>
      <c r="N190" s="14" t="str">
        <f t="shared" si="9"/>
        <v/>
      </c>
      <c r="O190" s="29">
        <f>(IF(H190="",Assumptions!$B$3,H190)-G190)/365.25</f>
        <v>2.0780287474332648</v>
      </c>
      <c r="P190" s="14" t="str">
        <f t="shared" si="10"/>
        <v>25 to 34</v>
      </c>
      <c r="Q190" s="14" t="str">
        <f t="shared" si="11"/>
        <v>1 to 3 yrs</v>
      </c>
      <c r="R190" s="30">
        <f>K190/INDEX(Assumptions!$B$9:$B$13,MATCH(E190,Assumptions!$A$9:$A$13,0))</f>
        <v>1.0485714285714285</v>
      </c>
    </row>
    <row r="191" spans="1:18" x14ac:dyDescent="0.35">
      <c r="A191" s="26" t="s">
        <v>454</v>
      </c>
      <c r="B191" s="26" t="s">
        <v>455</v>
      </c>
      <c r="C191" s="26" t="s">
        <v>21</v>
      </c>
      <c r="D191" s="26" t="s">
        <v>31</v>
      </c>
      <c r="E191" s="26" t="s">
        <v>59</v>
      </c>
      <c r="F191" s="26" t="s">
        <v>68</v>
      </c>
      <c r="G191" s="27">
        <v>45549</v>
      </c>
      <c r="H191" s="27">
        <v>46224</v>
      </c>
      <c r="I191" s="26" t="s">
        <v>191</v>
      </c>
      <c r="J191" s="26">
        <v>28</v>
      </c>
      <c r="K191" s="28">
        <v>638000</v>
      </c>
      <c r="L191" s="26">
        <v>2</v>
      </c>
      <c r="M191" s="14" t="str">
        <f t="shared" si="8"/>
        <v>Exited</v>
      </c>
      <c r="N191" s="14" t="str">
        <f t="shared" si="9"/>
        <v>Involuntary</v>
      </c>
      <c r="O191" s="29">
        <f>(IF(H191="",Assumptions!$B$3,H191)-G191)/365.25</f>
        <v>1.8480492813141685</v>
      </c>
      <c r="P191" s="14" t="str">
        <f t="shared" si="10"/>
        <v>25 to 34</v>
      </c>
      <c r="Q191" s="14" t="str">
        <f t="shared" si="11"/>
        <v>1 to 3 yrs</v>
      </c>
      <c r="R191" s="30">
        <f>K191/INDEX(Assumptions!$B$9:$B$13,MATCH(E191,Assumptions!$A$9:$A$13,0))</f>
        <v>1.1599999999999999</v>
      </c>
    </row>
    <row r="192" spans="1:18" x14ac:dyDescent="0.35">
      <c r="A192" s="26" t="s">
        <v>456</v>
      </c>
      <c r="B192" s="26" t="s">
        <v>377</v>
      </c>
      <c r="C192" s="26" t="s">
        <v>20</v>
      </c>
      <c r="D192" s="26" t="s">
        <v>30</v>
      </c>
      <c r="E192" s="26" t="s">
        <v>58</v>
      </c>
      <c r="F192" s="26" t="s">
        <v>65</v>
      </c>
      <c r="G192" s="27">
        <v>45558</v>
      </c>
      <c r="H192" s="27"/>
      <c r="I192" s="26"/>
      <c r="J192" s="26">
        <v>22</v>
      </c>
      <c r="K192" s="28">
        <v>289000</v>
      </c>
      <c r="L192" s="26">
        <v>3</v>
      </c>
      <c r="M192" s="14" t="str">
        <f t="shared" si="8"/>
        <v>Active</v>
      </c>
      <c r="N192" s="14" t="str">
        <f t="shared" si="9"/>
        <v/>
      </c>
      <c r="O192" s="29">
        <f>(IF(H192="",Assumptions!$B$3,H192)-G192)/365.25</f>
        <v>2.0177960301163584</v>
      </c>
      <c r="P192" s="14" t="str">
        <f t="shared" si="10"/>
        <v>Under 25</v>
      </c>
      <c r="Q192" s="14" t="str">
        <f t="shared" si="11"/>
        <v>1 to 3 yrs</v>
      </c>
      <c r="R192" s="30">
        <f>K192/INDEX(Assumptions!$B$9:$B$13,MATCH(E192,Assumptions!$A$9:$A$13,0))</f>
        <v>0.82571428571428573</v>
      </c>
    </row>
    <row r="193" spans="1:18" x14ac:dyDescent="0.35">
      <c r="A193" s="26" t="s">
        <v>457</v>
      </c>
      <c r="B193" s="26" t="s">
        <v>458</v>
      </c>
      <c r="C193" s="26" t="s">
        <v>20</v>
      </c>
      <c r="D193" s="26" t="s">
        <v>32</v>
      </c>
      <c r="E193" s="26" t="s">
        <v>60</v>
      </c>
      <c r="F193" s="26" t="s">
        <v>65</v>
      </c>
      <c r="G193" s="27">
        <v>45569</v>
      </c>
      <c r="H193" s="27"/>
      <c r="I193" s="26"/>
      <c r="J193" s="26">
        <v>34</v>
      </c>
      <c r="K193" s="28">
        <v>901000</v>
      </c>
      <c r="L193" s="26">
        <v>4</v>
      </c>
      <c r="M193" s="14" t="str">
        <f t="shared" si="8"/>
        <v>Active</v>
      </c>
      <c r="N193" s="14" t="str">
        <f t="shared" si="9"/>
        <v/>
      </c>
      <c r="O193" s="29">
        <f>(IF(H193="",Assumptions!$B$3,H193)-G193)/365.25</f>
        <v>1.9876796714579055</v>
      </c>
      <c r="P193" s="14" t="str">
        <f t="shared" si="10"/>
        <v>25 to 34</v>
      </c>
      <c r="Q193" s="14" t="str">
        <f t="shared" si="11"/>
        <v>1 to 3 yrs</v>
      </c>
      <c r="R193" s="30">
        <f>K193/INDEX(Assumptions!$B$9:$B$13,MATCH(E193,Assumptions!$A$9:$A$13,0))</f>
        <v>0.94842105263157894</v>
      </c>
    </row>
    <row r="194" spans="1:18" x14ac:dyDescent="0.35">
      <c r="A194" s="26" t="s">
        <v>459</v>
      </c>
      <c r="B194" s="26" t="s">
        <v>398</v>
      </c>
      <c r="C194" s="26" t="s">
        <v>20</v>
      </c>
      <c r="D194" s="26" t="s">
        <v>33</v>
      </c>
      <c r="E194" s="26" t="s">
        <v>59</v>
      </c>
      <c r="F194" s="26" t="s">
        <v>67</v>
      </c>
      <c r="G194" s="27">
        <v>45569</v>
      </c>
      <c r="H194" s="27"/>
      <c r="I194" s="26"/>
      <c r="J194" s="26">
        <v>29</v>
      </c>
      <c r="K194" s="28">
        <v>535000</v>
      </c>
      <c r="L194" s="26">
        <v>3</v>
      </c>
      <c r="M194" s="14" t="str">
        <f t="shared" ref="M194:M257" si="12">IF(H194="","Active","Exited")</f>
        <v>Active</v>
      </c>
      <c r="N194" s="14" t="str">
        <f t="shared" ref="N194:N257" si="13">IF(H194="","",IF(OR(I194="Performance Termination",I194="Restructuring"),"Involuntary","Voluntary"))</f>
        <v/>
      </c>
      <c r="O194" s="29">
        <f>(IF(H194="",Assumptions!$B$3,H194)-G194)/365.25</f>
        <v>1.9876796714579055</v>
      </c>
      <c r="P194" s="14" t="str">
        <f t="shared" ref="P194:P257" si="14">IF(J194&lt;25,"Under 25",IF(J194&lt;35,"25 to 34",IF(J194&lt;45,"35 to 44",IF(J194&lt;55,"45 to 54","55 and above"))))</f>
        <v>25 to 34</v>
      </c>
      <c r="Q194" s="14" t="str">
        <f t="shared" ref="Q194:Q257" si="15">IF(O194&lt;1,"Under 1 yr",IF(O194&lt;3,"1 to 3 yrs",IF(O194&lt;5,"3 to 5 yrs",IF(O194&lt;10,"5 to 10 yrs","10+ yrs"))))</f>
        <v>1 to 3 yrs</v>
      </c>
      <c r="R194" s="30">
        <f>K194/INDEX(Assumptions!$B$9:$B$13,MATCH(E194,Assumptions!$A$9:$A$13,0))</f>
        <v>0.97272727272727277</v>
      </c>
    </row>
    <row r="195" spans="1:18" x14ac:dyDescent="0.35">
      <c r="A195" s="26" t="s">
        <v>460</v>
      </c>
      <c r="B195" s="26" t="s">
        <v>461</v>
      </c>
      <c r="C195" s="26" t="s">
        <v>20</v>
      </c>
      <c r="D195" s="26" t="s">
        <v>29</v>
      </c>
      <c r="E195" s="26" t="s">
        <v>58</v>
      </c>
      <c r="F195" s="26" t="s">
        <v>67</v>
      </c>
      <c r="G195" s="27">
        <v>45575</v>
      </c>
      <c r="H195" s="27"/>
      <c r="I195" s="26"/>
      <c r="J195" s="26">
        <v>23</v>
      </c>
      <c r="K195" s="28">
        <v>298000</v>
      </c>
      <c r="L195" s="26">
        <v>4</v>
      </c>
      <c r="M195" s="14" t="str">
        <f t="shared" si="12"/>
        <v>Active</v>
      </c>
      <c r="N195" s="14" t="str">
        <f t="shared" si="13"/>
        <v/>
      </c>
      <c r="O195" s="29">
        <f>(IF(H195="",Assumptions!$B$3,H195)-G195)/365.25</f>
        <v>1.9712525667351128</v>
      </c>
      <c r="P195" s="14" t="str">
        <f t="shared" si="14"/>
        <v>Under 25</v>
      </c>
      <c r="Q195" s="14" t="str">
        <f t="shared" si="15"/>
        <v>1 to 3 yrs</v>
      </c>
      <c r="R195" s="30">
        <f>K195/INDEX(Assumptions!$B$9:$B$13,MATCH(E195,Assumptions!$A$9:$A$13,0))</f>
        <v>0.85142857142857142</v>
      </c>
    </row>
    <row r="196" spans="1:18" x14ac:dyDescent="0.35">
      <c r="A196" s="26" t="s">
        <v>462</v>
      </c>
      <c r="B196" s="26" t="s">
        <v>463</v>
      </c>
      <c r="C196" s="26" t="s">
        <v>21</v>
      </c>
      <c r="D196" s="26" t="s">
        <v>30</v>
      </c>
      <c r="E196" s="26" t="s">
        <v>58</v>
      </c>
      <c r="F196" s="26" t="s">
        <v>65</v>
      </c>
      <c r="G196" s="27">
        <v>45576</v>
      </c>
      <c r="H196" s="27"/>
      <c r="I196" s="26"/>
      <c r="J196" s="26">
        <v>24</v>
      </c>
      <c r="K196" s="28">
        <v>289000</v>
      </c>
      <c r="L196" s="26">
        <v>2</v>
      </c>
      <c r="M196" s="14" t="str">
        <f t="shared" si="12"/>
        <v>Active</v>
      </c>
      <c r="N196" s="14" t="str">
        <f t="shared" si="13"/>
        <v/>
      </c>
      <c r="O196" s="29">
        <f>(IF(H196="",Assumptions!$B$3,H196)-G196)/365.25</f>
        <v>1.9685147159479808</v>
      </c>
      <c r="P196" s="14" t="str">
        <f t="shared" si="14"/>
        <v>Under 25</v>
      </c>
      <c r="Q196" s="14" t="str">
        <f t="shared" si="15"/>
        <v>1 to 3 yrs</v>
      </c>
      <c r="R196" s="30">
        <f>K196/INDEX(Assumptions!$B$9:$B$13,MATCH(E196,Assumptions!$A$9:$A$13,0))</f>
        <v>0.82571428571428573</v>
      </c>
    </row>
    <row r="197" spans="1:18" x14ac:dyDescent="0.35">
      <c r="A197" s="26" t="s">
        <v>464</v>
      </c>
      <c r="B197" s="26" t="s">
        <v>465</v>
      </c>
      <c r="C197" s="26" t="s">
        <v>21</v>
      </c>
      <c r="D197" s="26" t="s">
        <v>32</v>
      </c>
      <c r="E197" s="26" t="s">
        <v>60</v>
      </c>
      <c r="F197" s="26" t="s">
        <v>66</v>
      </c>
      <c r="G197" s="27">
        <v>45578</v>
      </c>
      <c r="H197" s="27">
        <v>46197</v>
      </c>
      <c r="I197" s="26" t="s">
        <v>214</v>
      </c>
      <c r="J197" s="26">
        <v>30</v>
      </c>
      <c r="K197" s="28">
        <v>872000</v>
      </c>
      <c r="L197" s="26">
        <v>2</v>
      </c>
      <c r="M197" s="14" t="str">
        <f t="shared" si="12"/>
        <v>Exited</v>
      </c>
      <c r="N197" s="14" t="str">
        <f t="shared" si="13"/>
        <v>Voluntary</v>
      </c>
      <c r="O197" s="29">
        <f>(IF(H197="",Assumptions!$B$3,H197)-G197)/365.25</f>
        <v>1.6947296372347707</v>
      </c>
      <c r="P197" s="14" t="str">
        <f t="shared" si="14"/>
        <v>25 to 34</v>
      </c>
      <c r="Q197" s="14" t="str">
        <f t="shared" si="15"/>
        <v>1 to 3 yrs</v>
      </c>
      <c r="R197" s="30">
        <f>K197/INDEX(Assumptions!$B$9:$B$13,MATCH(E197,Assumptions!$A$9:$A$13,0))</f>
        <v>0.91789473684210521</v>
      </c>
    </row>
    <row r="198" spans="1:18" x14ac:dyDescent="0.35">
      <c r="A198" s="26" t="s">
        <v>466</v>
      </c>
      <c r="B198" s="26" t="s">
        <v>467</v>
      </c>
      <c r="C198" s="26" t="s">
        <v>20</v>
      </c>
      <c r="D198" s="26" t="s">
        <v>29</v>
      </c>
      <c r="E198" s="26" t="s">
        <v>58</v>
      </c>
      <c r="F198" s="26" t="s">
        <v>65</v>
      </c>
      <c r="G198" s="27">
        <v>45580</v>
      </c>
      <c r="H198" s="27"/>
      <c r="I198" s="26"/>
      <c r="J198" s="26">
        <v>24</v>
      </c>
      <c r="K198" s="28">
        <v>377000</v>
      </c>
      <c r="L198" s="26">
        <v>3</v>
      </c>
      <c r="M198" s="14" t="str">
        <f t="shared" si="12"/>
        <v>Active</v>
      </c>
      <c r="N198" s="14" t="str">
        <f t="shared" si="13"/>
        <v/>
      </c>
      <c r="O198" s="29">
        <f>(IF(H198="",Assumptions!$B$3,H198)-G198)/365.25</f>
        <v>1.9575633127994525</v>
      </c>
      <c r="P198" s="14" t="str">
        <f t="shared" si="14"/>
        <v>Under 25</v>
      </c>
      <c r="Q198" s="14" t="str">
        <f t="shared" si="15"/>
        <v>1 to 3 yrs</v>
      </c>
      <c r="R198" s="30">
        <f>K198/INDEX(Assumptions!$B$9:$B$13,MATCH(E198,Assumptions!$A$9:$A$13,0))</f>
        <v>1.0771428571428572</v>
      </c>
    </row>
    <row r="199" spans="1:18" x14ac:dyDescent="0.35">
      <c r="A199" s="26" t="s">
        <v>468</v>
      </c>
      <c r="B199" s="26" t="s">
        <v>416</v>
      </c>
      <c r="C199" s="26" t="s">
        <v>21</v>
      </c>
      <c r="D199" s="26" t="s">
        <v>32</v>
      </c>
      <c r="E199" s="26" t="s">
        <v>58</v>
      </c>
      <c r="F199" s="26" t="s">
        <v>65</v>
      </c>
      <c r="G199" s="27">
        <v>45584</v>
      </c>
      <c r="H199" s="27"/>
      <c r="I199" s="26"/>
      <c r="J199" s="26">
        <v>25</v>
      </c>
      <c r="K199" s="28">
        <v>340000</v>
      </c>
      <c r="L199" s="26">
        <v>3</v>
      </c>
      <c r="M199" s="14" t="str">
        <f t="shared" si="12"/>
        <v>Active</v>
      </c>
      <c r="N199" s="14" t="str">
        <f t="shared" si="13"/>
        <v/>
      </c>
      <c r="O199" s="29">
        <f>(IF(H199="",Assumptions!$B$3,H199)-G199)/365.25</f>
        <v>1.946611909650924</v>
      </c>
      <c r="P199" s="14" t="str">
        <f t="shared" si="14"/>
        <v>25 to 34</v>
      </c>
      <c r="Q199" s="14" t="str">
        <f t="shared" si="15"/>
        <v>1 to 3 yrs</v>
      </c>
      <c r="R199" s="30">
        <f>K199/INDEX(Assumptions!$B$9:$B$13,MATCH(E199,Assumptions!$A$9:$A$13,0))</f>
        <v>0.97142857142857142</v>
      </c>
    </row>
    <row r="200" spans="1:18" x14ac:dyDescent="0.35">
      <c r="A200" s="26" t="s">
        <v>469</v>
      </c>
      <c r="B200" s="26" t="s">
        <v>470</v>
      </c>
      <c r="C200" s="26" t="s">
        <v>20</v>
      </c>
      <c r="D200" s="26" t="s">
        <v>30</v>
      </c>
      <c r="E200" s="26" t="s">
        <v>60</v>
      </c>
      <c r="F200" s="26" t="s">
        <v>65</v>
      </c>
      <c r="G200" s="27">
        <v>45609</v>
      </c>
      <c r="H200" s="27">
        <v>46278</v>
      </c>
      <c r="I200" s="26" t="s">
        <v>147</v>
      </c>
      <c r="J200" s="26">
        <v>33</v>
      </c>
      <c r="K200" s="28">
        <v>694000</v>
      </c>
      <c r="L200" s="26">
        <v>3</v>
      </c>
      <c r="M200" s="14" t="str">
        <f t="shared" si="12"/>
        <v>Exited</v>
      </c>
      <c r="N200" s="14" t="str">
        <f t="shared" si="13"/>
        <v>Voluntary</v>
      </c>
      <c r="O200" s="29">
        <f>(IF(H200="",Assumptions!$B$3,H200)-G200)/365.25</f>
        <v>1.8316221765913758</v>
      </c>
      <c r="P200" s="14" t="str">
        <f t="shared" si="14"/>
        <v>25 to 34</v>
      </c>
      <c r="Q200" s="14" t="str">
        <f t="shared" si="15"/>
        <v>1 to 3 yrs</v>
      </c>
      <c r="R200" s="30">
        <f>K200/INDEX(Assumptions!$B$9:$B$13,MATCH(E200,Assumptions!$A$9:$A$13,0))</f>
        <v>0.73052631578947369</v>
      </c>
    </row>
    <row r="201" spans="1:18" x14ac:dyDescent="0.35">
      <c r="A201" s="26" t="s">
        <v>471</v>
      </c>
      <c r="B201" s="26" t="s">
        <v>472</v>
      </c>
      <c r="C201" s="26" t="s">
        <v>20</v>
      </c>
      <c r="D201" s="26" t="s">
        <v>32</v>
      </c>
      <c r="E201" s="26" t="s">
        <v>59</v>
      </c>
      <c r="F201" s="26" t="s">
        <v>67</v>
      </c>
      <c r="G201" s="27">
        <v>45621</v>
      </c>
      <c r="H201" s="27">
        <v>46059</v>
      </c>
      <c r="I201" s="26" t="s">
        <v>207</v>
      </c>
      <c r="J201" s="26">
        <v>30</v>
      </c>
      <c r="K201" s="28">
        <v>474000</v>
      </c>
      <c r="L201" s="26">
        <v>3</v>
      </c>
      <c r="M201" s="14" t="str">
        <f t="shared" si="12"/>
        <v>Exited</v>
      </c>
      <c r="N201" s="14" t="str">
        <f t="shared" si="13"/>
        <v>Voluntary</v>
      </c>
      <c r="O201" s="29">
        <f>(IF(H201="",Assumptions!$B$3,H201)-G201)/365.25</f>
        <v>1.1991786447638604</v>
      </c>
      <c r="P201" s="14" t="str">
        <f t="shared" si="14"/>
        <v>25 to 34</v>
      </c>
      <c r="Q201" s="14" t="str">
        <f t="shared" si="15"/>
        <v>1 to 3 yrs</v>
      </c>
      <c r="R201" s="30">
        <f>K201/INDEX(Assumptions!$B$9:$B$13,MATCH(E201,Assumptions!$A$9:$A$13,0))</f>
        <v>0.86181818181818182</v>
      </c>
    </row>
    <row r="202" spans="1:18" x14ac:dyDescent="0.35">
      <c r="A202" s="26" t="s">
        <v>473</v>
      </c>
      <c r="B202" s="26" t="s">
        <v>474</v>
      </c>
      <c r="C202" s="26" t="s">
        <v>21</v>
      </c>
      <c r="D202" s="26" t="s">
        <v>32</v>
      </c>
      <c r="E202" s="26" t="s">
        <v>60</v>
      </c>
      <c r="F202" s="26" t="s">
        <v>66</v>
      </c>
      <c r="G202" s="27">
        <v>45628</v>
      </c>
      <c r="H202" s="27"/>
      <c r="I202" s="26"/>
      <c r="J202" s="26">
        <v>35</v>
      </c>
      <c r="K202" s="28">
        <v>1025000</v>
      </c>
      <c r="L202" s="26">
        <v>3</v>
      </c>
      <c r="M202" s="14" t="str">
        <f t="shared" si="12"/>
        <v>Active</v>
      </c>
      <c r="N202" s="14" t="str">
        <f t="shared" si="13"/>
        <v/>
      </c>
      <c r="O202" s="29">
        <f>(IF(H202="",Assumptions!$B$3,H202)-G202)/365.25</f>
        <v>1.8261464750171115</v>
      </c>
      <c r="P202" s="14" t="str">
        <f t="shared" si="14"/>
        <v>35 to 44</v>
      </c>
      <c r="Q202" s="14" t="str">
        <f t="shared" si="15"/>
        <v>1 to 3 yrs</v>
      </c>
      <c r="R202" s="30">
        <f>K202/INDEX(Assumptions!$B$9:$B$13,MATCH(E202,Assumptions!$A$9:$A$13,0))</f>
        <v>1.0789473684210527</v>
      </c>
    </row>
    <row r="203" spans="1:18" x14ac:dyDescent="0.35">
      <c r="A203" s="26" t="s">
        <v>475</v>
      </c>
      <c r="B203" s="26" t="s">
        <v>476</v>
      </c>
      <c r="C203" s="26" t="s">
        <v>20</v>
      </c>
      <c r="D203" s="26" t="s">
        <v>29</v>
      </c>
      <c r="E203" s="26" t="s">
        <v>59</v>
      </c>
      <c r="F203" s="26" t="s">
        <v>65</v>
      </c>
      <c r="G203" s="27">
        <v>45631</v>
      </c>
      <c r="H203" s="27">
        <v>46157</v>
      </c>
      <c r="I203" s="26" t="s">
        <v>147</v>
      </c>
      <c r="J203" s="26">
        <v>27</v>
      </c>
      <c r="K203" s="28">
        <v>460000</v>
      </c>
      <c r="L203" s="26">
        <v>1</v>
      </c>
      <c r="M203" s="14" t="str">
        <f t="shared" si="12"/>
        <v>Exited</v>
      </c>
      <c r="N203" s="14" t="str">
        <f t="shared" si="13"/>
        <v>Voluntary</v>
      </c>
      <c r="O203" s="29">
        <f>(IF(H203="",Assumptions!$B$3,H203)-G203)/365.25</f>
        <v>1.4401095140314852</v>
      </c>
      <c r="P203" s="14" t="str">
        <f t="shared" si="14"/>
        <v>25 to 34</v>
      </c>
      <c r="Q203" s="14" t="str">
        <f t="shared" si="15"/>
        <v>1 to 3 yrs</v>
      </c>
      <c r="R203" s="30">
        <f>K203/INDEX(Assumptions!$B$9:$B$13,MATCH(E203,Assumptions!$A$9:$A$13,0))</f>
        <v>0.83636363636363631</v>
      </c>
    </row>
    <row r="204" spans="1:18" x14ac:dyDescent="0.35">
      <c r="A204" s="26" t="s">
        <v>477</v>
      </c>
      <c r="B204" s="26" t="s">
        <v>478</v>
      </c>
      <c r="C204" s="26" t="s">
        <v>21</v>
      </c>
      <c r="D204" s="26" t="s">
        <v>32</v>
      </c>
      <c r="E204" s="26" t="s">
        <v>60</v>
      </c>
      <c r="F204" s="26" t="s">
        <v>67</v>
      </c>
      <c r="G204" s="27">
        <v>45644</v>
      </c>
      <c r="H204" s="27"/>
      <c r="I204" s="26"/>
      <c r="J204" s="26">
        <v>33</v>
      </c>
      <c r="K204" s="28">
        <v>871000</v>
      </c>
      <c r="L204" s="26">
        <v>3</v>
      </c>
      <c r="M204" s="14" t="str">
        <f t="shared" si="12"/>
        <v>Active</v>
      </c>
      <c r="N204" s="14" t="str">
        <f t="shared" si="13"/>
        <v/>
      </c>
      <c r="O204" s="29">
        <f>(IF(H204="",Assumptions!$B$3,H204)-G204)/365.25</f>
        <v>1.7823408624229979</v>
      </c>
      <c r="P204" s="14" t="str">
        <f t="shared" si="14"/>
        <v>25 to 34</v>
      </c>
      <c r="Q204" s="14" t="str">
        <f t="shared" si="15"/>
        <v>1 to 3 yrs</v>
      </c>
      <c r="R204" s="30">
        <f>K204/INDEX(Assumptions!$B$9:$B$13,MATCH(E204,Assumptions!$A$9:$A$13,0))</f>
        <v>0.9168421052631579</v>
      </c>
    </row>
    <row r="205" spans="1:18" x14ac:dyDescent="0.35">
      <c r="A205" s="26" t="s">
        <v>479</v>
      </c>
      <c r="B205" s="26" t="s">
        <v>480</v>
      </c>
      <c r="C205" s="26" t="s">
        <v>20</v>
      </c>
      <c r="D205" s="26" t="s">
        <v>29</v>
      </c>
      <c r="E205" s="26" t="s">
        <v>58</v>
      </c>
      <c r="F205" s="26" t="s">
        <v>65</v>
      </c>
      <c r="G205" s="27">
        <v>45645</v>
      </c>
      <c r="H205" s="27"/>
      <c r="I205" s="26"/>
      <c r="J205" s="26">
        <v>23</v>
      </c>
      <c r="K205" s="28">
        <v>293000</v>
      </c>
      <c r="L205" s="26">
        <v>3</v>
      </c>
      <c r="M205" s="14" t="str">
        <f t="shared" si="12"/>
        <v>Active</v>
      </c>
      <c r="N205" s="14" t="str">
        <f t="shared" si="13"/>
        <v/>
      </c>
      <c r="O205" s="29">
        <f>(IF(H205="",Assumptions!$B$3,H205)-G205)/365.25</f>
        <v>1.7796030116358659</v>
      </c>
      <c r="P205" s="14" t="str">
        <f t="shared" si="14"/>
        <v>Under 25</v>
      </c>
      <c r="Q205" s="14" t="str">
        <f t="shared" si="15"/>
        <v>1 to 3 yrs</v>
      </c>
      <c r="R205" s="30">
        <f>K205/INDEX(Assumptions!$B$9:$B$13,MATCH(E205,Assumptions!$A$9:$A$13,0))</f>
        <v>0.83714285714285719</v>
      </c>
    </row>
    <row r="206" spans="1:18" x14ac:dyDescent="0.35">
      <c r="A206" s="26" t="s">
        <v>481</v>
      </c>
      <c r="B206" s="26" t="s">
        <v>482</v>
      </c>
      <c r="C206" s="26" t="s">
        <v>21</v>
      </c>
      <c r="D206" s="26" t="s">
        <v>31</v>
      </c>
      <c r="E206" s="26" t="s">
        <v>58</v>
      </c>
      <c r="F206" s="26" t="s">
        <v>65</v>
      </c>
      <c r="G206" s="27">
        <v>45655</v>
      </c>
      <c r="H206" s="27">
        <v>46273</v>
      </c>
      <c r="I206" s="26" t="s">
        <v>214</v>
      </c>
      <c r="J206" s="26">
        <v>25</v>
      </c>
      <c r="K206" s="28">
        <v>388000</v>
      </c>
      <c r="L206" s="26">
        <v>3</v>
      </c>
      <c r="M206" s="14" t="str">
        <f t="shared" si="12"/>
        <v>Exited</v>
      </c>
      <c r="N206" s="14" t="str">
        <f t="shared" si="13"/>
        <v>Voluntary</v>
      </c>
      <c r="O206" s="29">
        <f>(IF(H206="",Assumptions!$B$3,H206)-G206)/365.25</f>
        <v>1.6919917864476386</v>
      </c>
      <c r="P206" s="14" t="str">
        <f t="shared" si="14"/>
        <v>25 to 34</v>
      </c>
      <c r="Q206" s="14" t="str">
        <f t="shared" si="15"/>
        <v>1 to 3 yrs</v>
      </c>
      <c r="R206" s="30">
        <f>K206/INDEX(Assumptions!$B$9:$B$13,MATCH(E206,Assumptions!$A$9:$A$13,0))</f>
        <v>1.1085714285714285</v>
      </c>
    </row>
    <row r="207" spans="1:18" x14ac:dyDescent="0.35">
      <c r="A207" s="26" t="s">
        <v>483</v>
      </c>
      <c r="B207" s="26" t="s">
        <v>484</v>
      </c>
      <c r="C207" s="26" t="s">
        <v>21</v>
      </c>
      <c r="D207" s="26" t="s">
        <v>32</v>
      </c>
      <c r="E207" s="26" t="s">
        <v>59</v>
      </c>
      <c r="F207" s="26" t="s">
        <v>66</v>
      </c>
      <c r="G207" s="27">
        <v>45663</v>
      </c>
      <c r="H207" s="27"/>
      <c r="I207" s="26"/>
      <c r="J207" s="26">
        <v>29</v>
      </c>
      <c r="K207" s="28">
        <v>458000</v>
      </c>
      <c r="L207" s="26">
        <v>3</v>
      </c>
      <c r="M207" s="14" t="str">
        <f t="shared" si="12"/>
        <v>Active</v>
      </c>
      <c r="N207" s="14" t="str">
        <f t="shared" si="13"/>
        <v/>
      </c>
      <c r="O207" s="29">
        <f>(IF(H207="",Assumptions!$B$3,H207)-G207)/365.25</f>
        <v>1.730321697467488</v>
      </c>
      <c r="P207" s="14" t="str">
        <f t="shared" si="14"/>
        <v>25 to 34</v>
      </c>
      <c r="Q207" s="14" t="str">
        <f t="shared" si="15"/>
        <v>1 to 3 yrs</v>
      </c>
      <c r="R207" s="30">
        <f>K207/INDEX(Assumptions!$B$9:$B$13,MATCH(E207,Assumptions!$A$9:$A$13,0))</f>
        <v>0.83272727272727276</v>
      </c>
    </row>
    <row r="208" spans="1:18" x14ac:dyDescent="0.35">
      <c r="A208" s="26" t="s">
        <v>485</v>
      </c>
      <c r="B208" s="26" t="s">
        <v>486</v>
      </c>
      <c r="C208" s="26" t="s">
        <v>20</v>
      </c>
      <c r="D208" s="26" t="s">
        <v>35</v>
      </c>
      <c r="E208" s="26" t="s">
        <v>60</v>
      </c>
      <c r="F208" s="26" t="s">
        <v>65</v>
      </c>
      <c r="G208" s="27">
        <v>45668</v>
      </c>
      <c r="H208" s="27"/>
      <c r="I208" s="26"/>
      <c r="J208" s="26">
        <v>30</v>
      </c>
      <c r="K208" s="28">
        <v>882000</v>
      </c>
      <c r="L208" s="26">
        <v>4</v>
      </c>
      <c r="M208" s="14" t="str">
        <f t="shared" si="12"/>
        <v>Active</v>
      </c>
      <c r="N208" s="14" t="str">
        <f t="shared" si="13"/>
        <v/>
      </c>
      <c r="O208" s="29">
        <f>(IF(H208="",Assumptions!$B$3,H208)-G208)/365.25</f>
        <v>1.7166324435318274</v>
      </c>
      <c r="P208" s="14" t="str">
        <f t="shared" si="14"/>
        <v>25 to 34</v>
      </c>
      <c r="Q208" s="14" t="str">
        <f t="shared" si="15"/>
        <v>1 to 3 yrs</v>
      </c>
      <c r="R208" s="30">
        <f>K208/INDEX(Assumptions!$B$9:$B$13,MATCH(E208,Assumptions!$A$9:$A$13,0))</f>
        <v>0.92842105263157892</v>
      </c>
    </row>
    <row r="209" spans="1:18" x14ac:dyDescent="0.35">
      <c r="A209" s="26" t="s">
        <v>487</v>
      </c>
      <c r="B209" s="26" t="s">
        <v>296</v>
      </c>
      <c r="C209" s="26" t="s">
        <v>20</v>
      </c>
      <c r="D209" s="26" t="s">
        <v>33</v>
      </c>
      <c r="E209" s="26" t="s">
        <v>59</v>
      </c>
      <c r="F209" s="26" t="s">
        <v>67</v>
      </c>
      <c r="G209" s="27">
        <v>45682</v>
      </c>
      <c r="H209" s="27"/>
      <c r="I209" s="26"/>
      <c r="J209" s="26">
        <v>27</v>
      </c>
      <c r="K209" s="28">
        <v>556000</v>
      </c>
      <c r="L209" s="26">
        <v>3</v>
      </c>
      <c r="M209" s="14" t="str">
        <f t="shared" si="12"/>
        <v>Active</v>
      </c>
      <c r="N209" s="14" t="str">
        <f t="shared" si="13"/>
        <v/>
      </c>
      <c r="O209" s="29">
        <f>(IF(H209="",Assumptions!$B$3,H209)-G209)/365.25</f>
        <v>1.678302532511978</v>
      </c>
      <c r="P209" s="14" t="str">
        <f t="shared" si="14"/>
        <v>25 to 34</v>
      </c>
      <c r="Q209" s="14" t="str">
        <f t="shared" si="15"/>
        <v>1 to 3 yrs</v>
      </c>
      <c r="R209" s="30">
        <f>K209/INDEX(Assumptions!$B$9:$B$13,MATCH(E209,Assumptions!$A$9:$A$13,0))</f>
        <v>1.010909090909091</v>
      </c>
    </row>
    <row r="210" spans="1:18" x14ac:dyDescent="0.35">
      <c r="A210" s="26" t="s">
        <v>488</v>
      </c>
      <c r="B210" s="26" t="s">
        <v>489</v>
      </c>
      <c r="C210" s="26" t="s">
        <v>21</v>
      </c>
      <c r="D210" s="26" t="s">
        <v>29</v>
      </c>
      <c r="E210" s="26" t="s">
        <v>59</v>
      </c>
      <c r="F210" s="26" t="s">
        <v>67</v>
      </c>
      <c r="G210" s="27">
        <v>45686</v>
      </c>
      <c r="H210" s="27"/>
      <c r="I210" s="26"/>
      <c r="J210" s="26">
        <v>28</v>
      </c>
      <c r="K210" s="28">
        <v>510000</v>
      </c>
      <c r="L210" s="26">
        <v>3</v>
      </c>
      <c r="M210" s="14" t="str">
        <f t="shared" si="12"/>
        <v>Active</v>
      </c>
      <c r="N210" s="14" t="str">
        <f t="shared" si="13"/>
        <v/>
      </c>
      <c r="O210" s="29">
        <f>(IF(H210="",Assumptions!$B$3,H210)-G210)/365.25</f>
        <v>1.6673511293634498</v>
      </c>
      <c r="P210" s="14" t="str">
        <f t="shared" si="14"/>
        <v>25 to 34</v>
      </c>
      <c r="Q210" s="14" t="str">
        <f t="shared" si="15"/>
        <v>1 to 3 yrs</v>
      </c>
      <c r="R210" s="30">
        <f>K210/INDEX(Assumptions!$B$9:$B$13,MATCH(E210,Assumptions!$A$9:$A$13,0))</f>
        <v>0.92727272727272725</v>
      </c>
    </row>
    <row r="211" spans="1:18" x14ac:dyDescent="0.35">
      <c r="A211" s="26" t="s">
        <v>490</v>
      </c>
      <c r="B211" s="26" t="s">
        <v>491</v>
      </c>
      <c r="C211" s="26" t="s">
        <v>21</v>
      </c>
      <c r="D211" s="26" t="s">
        <v>29</v>
      </c>
      <c r="E211" s="26" t="s">
        <v>59</v>
      </c>
      <c r="F211" s="26" t="s">
        <v>67</v>
      </c>
      <c r="G211" s="27">
        <v>45696</v>
      </c>
      <c r="H211" s="27"/>
      <c r="I211" s="26"/>
      <c r="J211" s="26">
        <v>28</v>
      </c>
      <c r="K211" s="28">
        <v>601000</v>
      </c>
      <c r="L211" s="26">
        <v>3</v>
      </c>
      <c r="M211" s="14" t="str">
        <f t="shared" si="12"/>
        <v>Active</v>
      </c>
      <c r="N211" s="14" t="str">
        <f t="shared" si="13"/>
        <v/>
      </c>
      <c r="O211" s="29">
        <f>(IF(H211="",Assumptions!$B$3,H211)-G211)/365.25</f>
        <v>1.6399726214921286</v>
      </c>
      <c r="P211" s="14" t="str">
        <f t="shared" si="14"/>
        <v>25 to 34</v>
      </c>
      <c r="Q211" s="14" t="str">
        <f t="shared" si="15"/>
        <v>1 to 3 yrs</v>
      </c>
      <c r="R211" s="30">
        <f>K211/INDEX(Assumptions!$B$9:$B$13,MATCH(E211,Assumptions!$A$9:$A$13,0))</f>
        <v>1.0927272727272728</v>
      </c>
    </row>
    <row r="212" spans="1:18" x14ac:dyDescent="0.35">
      <c r="A212" s="26" t="s">
        <v>492</v>
      </c>
      <c r="B212" s="26" t="s">
        <v>493</v>
      </c>
      <c r="C212" s="26" t="s">
        <v>21</v>
      </c>
      <c r="D212" s="26" t="s">
        <v>31</v>
      </c>
      <c r="E212" s="26" t="s">
        <v>60</v>
      </c>
      <c r="F212" s="26" t="s">
        <v>68</v>
      </c>
      <c r="G212" s="27">
        <v>45704</v>
      </c>
      <c r="H212" s="27"/>
      <c r="I212" s="26"/>
      <c r="J212" s="26">
        <v>34</v>
      </c>
      <c r="K212" s="28">
        <v>1162000</v>
      </c>
      <c r="L212" s="26">
        <v>3</v>
      </c>
      <c r="M212" s="14" t="str">
        <f t="shared" si="12"/>
        <v>Active</v>
      </c>
      <c r="N212" s="14" t="str">
        <f t="shared" si="13"/>
        <v/>
      </c>
      <c r="O212" s="29">
        <f>(IF(H212="",Assumptions!$B$3,H212)-G212)/365.25</f>
        <v>1.6180698151950719</v>
      </c>
      <c r="P212" s="14" t="str">
        <f t="shared" si="14"/>
        <v>25 to 34</v>
      </c>
      <c r="Q212" s="14" t="str">
        <f t="shared" si="15"/>
        <v>1 to 3 yrs</v>
      </c>
      <c r="R212" s="30">
        <f>K212/INDEX(Assumptions!$B$9:$B$13,MATCH(E212,Assumptions!$A$9:$A$13,0))</f>
        <v>1.223157894736842</v>
      </c>
    </row>
    <row r="213" spans="1:18" x14ac:dyDescent="0.35">
      <c r="A213" s="26" t="s">
        <v>494</v>
      </c>
      <c r="B213" s="26" t="s">
        <v>495</v>
      </c>
      <c r="C213" s="26" t="s">
        <v>21</v>
      </c>
      <c r="D213" s="26" t="s">
        <v>29</v>
      </c>
      <c r="E213" s="26" t="s">
        <v>58</v>
      </c>
      <c r="F213" s="26" t="s">
        <v>68</v>
      </c>
      <c r="G213" s="27">
        <v>45713</v>
      </c>
      <c r="H213" s="27">
        <v>46066</v>
      </c>
      <c r="I213" s="26" t="s">
        <v>217</v>
      </c>
      <c r="J213" s="26">
        <v>22</v>
      </c>
      <c r="K213" s="28">
        <v>359000</v>
      </c>
      <c r="L213" s="26">
        <v>3</v>
      </c>
      <c r="M213" s="14" t="str">
        <f t="shared" si="12"/>
        <v>Exited</v>
      </c>
      <c r="N213" s="14" t="str">
        <f t="shared" si="13"/>
        <v>Involuntary</v>
      </c>
      <c r="O213" s="29">
        <f>(IF(H213="",Assumptions!$B$3,H213)-G213)/365.25</f>
        <v>0.96646132785763172</v>
      </c>
      <c r="P213" s="14" t="str">
        <f t="shared" si="14"/>
        <v>Under 25</v>
      </c>
      <c r="Q213" s="14" t="str">
        <f t="shared" si="15"/>
        <v>Under 1 yr</v>
      </c>
      <c r="R213" s="30">
        <f>K213/INDEX(Assumptions!$B$9:$B$13,MATCH(E213,Assumptions!$A$9:$A$13,0))</f>
        <v>1.0257142857142858</v>
      </c>
    </row>
    <row r="214" spans="1:18" x14ac:dyDescent="0.35">
      <c r="A214" s="26" t="s">
        <v>496</v>
      </c>
      <c r="B214" s="26" t="s">
        <v>497</v>
      </c>
      <c r="C214" s="26" t="s">
        <v>20</v>
      </c>
      <c r="D214" s="26" t="s">
        <v>29</v>
      </c>
      <c r="E214" s="26" t="s">
        <v>59</v>
      </c>
      <c r="F214" s="26" t="s">
        <v>69</v>
      </c>
      <c r="G214" s="27">
        <v>45719</v>
      </c>
      <c r="H214" s="27"/>
      <c r="I214" s="26"/>
      <c r="J214" s="26">
        <v>25</v>
      </c>
      <c r="K214" s="28">
        <v>531000</v>
      </c>
      <c r="L214" s="26">
        <v>4</v>
      </c>
      <c r="M214" s="14" t="str">
        <f t="shared" si="12"/>
        <v>Active</v>
      </c>
      <c r="N214" s="14" t="str">
        <f t="shared" si="13"/>
        <v/>
      </c>
      <c r="O214" s="29">
        <f>(IF(H214="",Assumptions!$B$3,H214)-G214)/365.25</f>
        <v>1.5770020533880904</v>
      </c>
      <c r="P214" s="14" t="str">
        <f t="shared" si="14"/>
        <v>25 to 34</v>
      </c>
      <c r="Q214" s="14" t="str">
        <f t="shared" si="15"/>
        <v>1 to 3 yrs</v>
      </c>
      <c r="R214" s="30">
        <f>K214/INDEX(Assumptions!$B$9:$B$13,MATCH(E214,Assumptions!$A$9:$A$13,0))</f>
        <v>0.96545454545454545</v>
      </c>
    </row>
    <row r="215" spans="1:18" x14ac:dyDescent="0.35">
      <c r="A215" s="26" t="s">
        <v>498</v>
      </c>
      <c r="B215" s="26" t="s">
        <v>474</v>
      </c>
      <c r="C215" s="26" t="s">
        <v>21</v>
      </c>
      <c r="D215" s="26" t="s">
        <v>30</v>
      </c>
      <c r="E215" s="26" t="s">
        <v>59</v>
      </c>
      <c r="F215" s="26" t="s">
        <v>66</v>
      </c>
      <c r="G215" s="27">
        <v>45725</v>
      </c>
      <c r="H215" s="27">
        <v>46010</v>
      </c>
      <c r="I215" s="26" t="s">
        <v>191</v>
      </c>
      <c r="J215" s="26">
        <v>29</v>
      </c>
      <c r="K215" s="28">
        <v>488000</v>
      </c>
      <c r="L215" s="26">
        <v>2</v>
      </c>
      <c r="M215" s="14" t="str">
        <f t="shared" si="12"/>
        <v>Exited</v>
      </c>
      <c r="N215" s="14" t="str">
        <f t="shared" si="13"/>
        <v>Involuntary</v>
      </c>
      <c r="O215" s="29">
        <f>(IF(H215="",Assumptions!$B$3,H215)-G215)/365.25</f>
        <v>0.78028747433264889</v>
      </c>
      <c r="P215" s="14" t="str">
        <f t="shared" si="14"/>
        <v>25 to 34</v>
      </c>
      <c r="Q215" s="14" t="str">
        <f t="shared" si="15"/>
        <v>Under 1 yr</v>
      </c>
      <c r="R215" s="30">
        <f>K215/INDEX(Assumptions!$B$9:$B$13,MATCH(E215,Assumptions!$A$9:$A$13,0))</f>
        <v>0.88727272727272732</v>
      </c>
    </row>
    <row r="216" spans="1:18" x14ac:dyDescent="0.35">
      <c r="A216" s="26" t="s">
        <v>499</v>
      </c>
      <c r="B216" s="26" t="s">
        <v>500</v>
      </c>
      <c r="C216" s="26" t="s">
        <v>20</v>
      </c>
      <c r="D216" s="26" t="s">
        <v>31</v>
      </c>
      <c r="E216" s="26" t="s">
        <v>59</v>
      </c>
      <c r="F216" s="26" t="s">
        <v>67</v>
      </c>
      <c r="G216" s="27">
        <v>45736</v>
      </c>
      <c r="H216" s="27"/>
      <c r="I216" s="26"/>
      <c r="J216" s="26">
        <v>29</v>
      </c>
      <c r="K216" s="28">
        <v>634000</v>
      </c>
      <c r="L216" s="26">
        <v>4</v>
      </c>
      <c r="M216" s="14" t="str">
        <f t="shared" si="12"/>
        <v>Active</v>
      </c>
      <c r="N216" s="14" t="str">
        <f t="shared" si="13"/>
        <v/>
      </c>
      <c r="O216" s="29">
        <f>(IF(H216="",Assumptions!$B$3,H216)-G216)/365.25</f>
        <v>1.5304585900068446</v>
      </c>
      <c r="P216" s="14" t="str">
        <f t="shared" si="14"/>
        <v>25 to 34</v>
      </c>
      <c r="Q216" s="14" t="str">
        <f t="shared" si="15"/>
        <v>1 to 3 yrs</v>
      </c>
      <c r="R216" s="30">
        <f>K216/INDEX(Assumptions!$B$9:$B$13,MATCH(E216,Assumptions!$A$9:$A$13,0))</f>
        <v>1.1527272727272728</v>
      </c>
    </row>
    <row r="217" spans="1:18" x14ac:dyDescent="0.35">
      <c r="A217" s="26" t="s">
        <v>501</v>
      </c>
      <c r="B217" s="26" t="s">
        <v>493</v>
      </c>
      <c r="C217" s="26" t="s">
        <v>21</v>
      </c>
      <c r="D217" s="26" t="s">
        <v>32</v>
      </c>
      <c r="E217" s="26" t="s">
        <v>59</v>
      </c>
      <c r="F217" s="26" t="s">
        <v>66</v>
      </c>
      <c r="G217" s="27">
        <v>45736</v>
      </c>
      <c r="H217" s="27"/>
      <c r="I217" s="26"/>
      <c r="J217" s="26">
        <v>28</v>
      </c>
      <c r="K217" s="28">
        <v>531000</v>
      </c>
      <c r="L217" s="26">
        <v>2</v>
      </c>
      <c r="M217" s="14" t="str">
        <f t="shared" si="12"/>
        <v>Active</v>
      </c>
      <c r="N217" s="14" t="str">
        <f t="shared" si="13"/>
        <v/>
      </c>
      <c r="O217" s="29">
        <f>(IF(H217="",Assumptions!$B$3,H217)-G217)/365.25</f>
        <v>1.5304585900068446</v>
      </c>
      <c r="P217" s="14" t="str">
        <f t="shared" si="14"/>
        <v>25 to 34</v>
      </c>
      <c r="Q217" s="14" t="str">
        <f t="shared" si="15"/>
        <v>1 to 3 yrs</v>
      </c>
      <c r="R217" s="30">
        <f>K217/INDEX(Assumptions!$B$9:$B$13,MATCH(E217,Assumptions!$A$9:$A$13,0))</f>
        <v>0.96545454545454545</v>
      </c>
    </row>
    <row r="218" spans="1:18" x14ac:dyDescent="0.35">
      <c r="A218" s="26" t="s">
        <v>502</v>
      </c>
      <c r="B218" s="26" t="s">
        <v>503</v>
      </c>
      <c r="C218" s="26" t="s">
        <v>21</v>
      </c>
      <c r="D218" s="26" t="s">
        <v>33</v>
      </c>
      <c r="E218" s="26" t="s">
        <v>59</v>
      </c>
      <c r="F218" s="26" t="s">
        <v>69</v>
      </c>
      <c r="G218" s="27">
        <v>45747</v>
      </c>
      <c r="H218" s="27"/>
      <c r="I218" s="26"/>
      <c r="J218" s="26">
        <v>30</v>
      </c>
      <c r="K218" s="28">
        <v>544000</v>
      </c>
      <c r="L218" s="26">
        <v>3</v>
      </c>
      <c r="M218" s="14" t="str">
        <f t="shared" si="12"/>
        <v>Active</v>
      </c>
      <c r="N218" s="14" t="str">
        <f t="shared" si="13"/>
        <v/>
      </c>
      <c r="O218" s="29">
        <f>(IF(H218="",Assumptions!$B$3,H218)-G218)/365.25</f>
        <v>1.5003422313483916</v>
      </c>
      <c r="P218" s="14" t="str">
        <f t="shared" si="14"/>
        <v>25 to 34</v>
      </c>
      <c r="Q218" s="14" t="str">
        <f t="shared" si="15"/>
        <v>1 to 3 yrs</v>
      </c>
      <c r="R218" s="30">
        <f>K218/INDEX(Assumptions!$B$9:$B$13,MATCH(E218,Assumptions!$A$9:$A$13,0))</f>
        <v>0.98909090909090913</v>
      </c>
    </row>
    <row r="219" spans="1:18" x14ac:dyDescent="0.35">
      <c r="A219" s="26" t="s">
        <v>504</v>
      </c>
      <c r="B219" s="26" t="s">
        <v>505</v>
      </c>
      <c r="C219" s="26" t="s">
        <v>21</v>
      </c>
      <c r="D219" s="26" t="s">
        <v>30</v>
      </c>
      <c r="E219" s="26" t="s">
        <v>59</v>
      </c>
      <c r="F219" s="26" t="s">
        <v>65</v>
      </c>
      <c r="G219" s="27">
        <v>45755</v>
      </c>
      <c r="H219" s="27">
        <v>46105</v>
      </c>
      <c r="I219" s="26" t="s">
        <v>147</v>
      </c>
      <c r="J219" s="26">
        <v>30</v>
      </c>
      <c r="K219" s="28">
        <v>410000</v>
      </c>
      <c r="L219" s="26">
        <v>3</v>
      </c>
      <c r="M219" s="14" t="str">
        <f t="shared" si="12"/>
        <v>Exited</v>
      </c>
      <c r="N219" s="14" t="str">
        <f t="shared" si="13"/>
        <v>Voluntary</v>
      </c>
      <c r="O219" s="29">
        <f>(IF(H219="",Assumptions!$B$3,H219)-G219)/365.25</f>
        <v>0.95824777549623541</v>
      </c>
      <c r="P219" s="14" t="str">
        <f t="shared" si="14"/>
        <v>25 to 34</v>
      </c>
      <c r="Q219" s="14" t="str">
        <f t="shared" si="15"/>
        <v>Under 1 yr</v>
      </c>
      <c r="R219" s="30">
        <f>K219/INDEX(Assumptions!$B$9:$B$13,MATCH(E219,Assumptions!$A$9:$A$13,0))</f>
        <v>0.74545454545454548</v>
      </c>
    </row>
    <row r="220" spans="1:18" x14ac:dyDescent="0.35">
      <c r="A220" s="26" t="s">
        <v>506</v>
      </c>
      <c r="B220" s="26" t="s">
        <v>507</v>
      </c>
      <c r="C220" s="26" t="s">
        <v>20</v>
      </c>
      <c r="D220" s="26" t="s">
        <v>35</v>
      </c>
      <c r="E220" s="26" t="s">
        <v>59</v>
      </c>
      <c r="F220" s="26" t="s">
        <v>68</v>
      </c>
      <c r="G220" s="27">
        <v>45762</v>
      </c>
      <c r="H220" s="27"/>
      <c r="I220" s="26"/>
      <c r="J220" s="26">
        <v>26</v>
      </c>
      <c r="K220" s="28">
        <v>505000</v>
      </c>
      <c r="L220" s="26">
        <v>3</v>
      </c>
      <c r="M220" s="14" t="str">
        <f t="shared" si="12"/>
        <v>Active</v>
      </c>
      <c r="N220" s="14" t="str">
        <f t="shared" si="13"/>
        <v/>
      </c>
      <c r="O220" s="29">
        <f>(IF(H220="",Assumptions!$B$3,H220)-G220)/365.25</f>
        <v>1.4592744695414099</v>
      </c>
      <c r="P220" s="14" t="str">
        <f t="shared" si="14"/>
        <v>25 to 34</v>
      </c>
      <c r="Q220" s="14" t="str">
        <f t="shared" si="15"/>
        <v>1 to 3 yrs</v>
      </c>
      <c r="R220" s="30">
        <f>K220/INDEX(Assumptions!$B$9:$B$13,MATCH(E220,Assumptions!$A$9:$A$13,0))</f>
        <v>0.91818181818181821</v>
      </c>
    </row>
    <row r="221" spans="1:18" x14ac:dyDescent="0.35">
      <c r="A221" s="26" t="s">
        <v>508</v>
      </c>
      <c r="B221" s="26" t="s">
        <v>509</v>
      </c>
      <c r="C221" s="26" t="s">
        <v>20</v>
      </c>
      <c r="D221" s="26" t="s">
        <v>35</v>
      </c>
      <c r="E221" s="26" t="s">
        <v>59</v>
      </c>
      <c r="F221" s="26" t="s">
        <v>68</v>
      </c>
      <c r="G221" s="27">
        <v>45766</v>
      </c>
      <c r="H221" s="27">
        <v>46052</v>
      </c>
      <c r="I221" s="26" t="s">
        <v>191</v>
      </c>
      <c r="J221" s="26">
        <v>26</v>
      </c>
      <c r="K221" s="28">
        <v>517000</v>
      </c>
      <c r="L221" s="26">
        <v>1</v>
      </c>
      <c r="M221" s="14" t="str">
        <f t="shared" si="12"/>
        <v>Exited</v>
      </c>
      <c r="N221" s="14" t="str">
        <f t="shared" si="13"/>
        <v>Involuntary</v>
      </c>
      <c r="O221" s="29">
        <f>(IF(H221="",Assumptions!$B$3,H221)-G221)/365.25</f>
        <v>0.78302532511978096</v>
      </c>
      <c r="P221" s="14" t="str">
        <f t="shared" si="14"/>
        <v>25 to 34</v>
      </c>
      <c r="Q221" s="14" t="str">
        <f t="shared" si="15"/>
        <v>Under 1 yr</v>
      </c>
      <c r="R221" s="30">
        <f>K221/INDEX(Assumptions!$B$9:$B$13,MATCH(E221,Assumptions!$A$9:$A$13,0))</f>
        <v>0.94</v>
      </c>
    </row>
    <row r="222" spans="1:18" x14ac:dyDescent="0.35">
      <c r="A222" s="26" t="s">
        <v>510</v>
      </c>
      <c r="B222" s="26" t="s">
        <v>511</v>
      </c>
      <c r="C222" s="26" t="s">
        <v>20</v>
      </c>
      <c r="D222" s="26" t="s">
        <v>32</v>
      </c>
      <c r="E222" s="26" t="s">
        <v>58</v>
      </c>
      <c r="F222" s="26" t="s">
        <v>65</v>
      </c>
      <c r="G222" s="27">
        <v>45769</v>
      </c>
      <c r="H222" s="27"/>
      <c r="I222" s="26"/>
      <c r="J222" s="26">
        <v>23</v>
      </c>
      <c r="K222" s="28">
        <v>356000</v>
      </c>
      <c r="L222" s="26">
        <v>4</v>
      </c>
      <c r="M222" s="14" t="str">
        <f t="shared" si="12"/>
        <v>Active</v>
      </c>
      <c r="N222" s="14" t="str">
        <f t="shared" si="13"/>
        <v/>
      </c>
      <c r="O222" s="29">
        <f>(IF(H222="",Assumptions!$B$3,H222)-G222)/365.25</f>
        <v>1.4401095140314852</v>
      </c>
      <c r="P222" s="14" t="str">
        <f t="shared" si="14"/>
        <v>Under 25</v>
      </c>
      <c r="Q222" s="14" t="str">
        <f t="shared" si="15"/>
        <v>1 to 3 yrs</v>
      </c>
      <c r="R222" s="30">
        <f>K222/INDEX(Assumptions!$B$9:$B$13,MATCH(E222,Assumptions!$A$9:$A$13,0))</f>
        <v>1.0171428571428571</v>
      </c>
    </row>
    <row r="223" spans="1:18" x14ac:dyDescent="0.35">
      <c r="A223" s="26" t="s">
        <v>512</v>
      </c>
      <c r="B223" s="26" t="s">
        <v>355</v>
      </c>
      <c r="C223" s="26" t="s">
        <v>20</v>
      </c>
      <c r="D223" s="26" t="s">
        <v>30</v>
      </c>
      <c r="E223" s="26" t="s">
        <v>58</v>
      </c>
      <c r="F223" s="26" t="s">
        <v>66</v>
      </c>
      <c r="G223" s="27">
        <v>45770</v>
      </c>
      <c r="H223" s="27"/>
      <c r="I223" s="26"/>
      <c r="J223" s="26">
        <v>24</v>
      </c>
      <c r="K223" s="28">
        <v>317000</v>
      </c>
      <c r="L223" s="26">
        <v>3</v>
      </c>
      <c r="M223" s="14" t="str">
        <f t="shared" si="12"/>
        <v>Active</v>
      </c>
      <c r="N223" s="14" t="str">
        <f t="shared" si="13"/>
        <v/>
      </c>
      <c r="O223" s="29">
        <f>(IF(H223="",Assumptions!$B$3,H223)-G223)/365.25</f>
        <v>1.4373716632443532</v>
      </c>
      <c r="P223" s="14" t="str">
        <f t="shared" si="14"/>
        <v>Under 25</v>
      </c>
      <c r="Q223" s="14" t="str">
        <f t="shared" si="15"/>
        <v>1 to 3 yrs</v>
      </c>
      <c r="R223" s="30">
        <f>K223/INDEX(Assumptions!$B$9:$B$13,MATCH(E223,Assumptions!$A$9:$A$13,0))</f>
        <v>0.90571428571428569</v>
      </c>
    </row>
    <row r="224" spans="1:18" x14ac:dyDescent="0.35">
      <c r="A224" s="26" t="s">
        <v>513</v>
      </c>
      <c r="B224" s="26" t="s">
        <v>385</v>
      </c>
      <c r="C224" s="26" t="s">
        <v>21</v>
      </c>
      <c r="D224" s="26" t="s">
        <v>29</v>
      </c>
      <c r="E224" s="26" t="s">
        <v>60</v>
      </c>
      <c r="F224" s="26" t="s">
        <v>66</v>
      </c>
      <c r="G224" s="27">
        <v>45773</v>
      </c>
      <c r="H224" s="27"/>
      <c r="I224" s="26"/>
      <c r="J224" s="26">
        <v>29</v>
      </c>
      <c r="K224" s="28">
        <v>998000</v>
      </c>
      <c r="L224" s="26">
        <v>3</v>
      </c>
      <c r="M224" s="14" t="str">
        <f t="shared" si="12"/>
        <v>Active</v>
      </c>
      <c r="N224" s="14" t="str">
        <f t="shared" si="13"/>
        <v/>
      </c>
      <c r="O224" s="29">
        <f>(IF(H224="",Assumptions!$B$3,H224)-G224)/365.25</f>
        <v>1.429158110882957</v>
      </c>
      <c r="P224" s="14" t="str">
        <f t="shared" si="14"/>
        <v>25 to 34</v>
      </c>
      <c r="Q224" s="14" t="str">
        <f t="shared" si="15"/>
        <v>1 to 3 yrs</v>
      </c>
      <c r="R224" s="30">
        <f>K224/INDEX(Assumptions!$B$9:$B$13,MATCH(E224,Assumptions!$A$9:$A$13,0))</f>
        <v>1.0505263157894738</v>
      </c>
    </row>
    <row r="225" spans="1:18" x14ac:dyDescent="0.35">
      <c r="A225" s="26" t="s">
        <v>514</v>
      </c>
      <c r="B225" s="26" t="s">
        <v>515</v>
      </c>
      <c r="C225" s="26" t="s">
        <v>20</v>
      </c>
      <c r="D225" s="26" t="s">
        <v>29</v>
      </c>
      <c r="E225" s="26" t="s">
        <v>60</v>
      </c>
      <c r="F225" s="26" t="s">
        <v>66</v>
      </c>
      <c r="G225" s="27">
        <v>45773</v>
      </c>
      <c r="H225" s="27"/>
      <c r="I225" s="26"/>
      <c r="J225" s="26">
        <v>34</v>
      </c>
      <c r="K225" s="28">
        <v>932000</v>
      </c>
      <c r="L225" s="26">
        <v>4</v>
      </c>
      <c r="M225" s="14" t="str">
        <f t="shared" si="12"/>
        <v>Active</v>
      </c>
      <c r="N225" s="14" t="str">
        <f t="shared" si="13"/>
        <v/>
      </c>
      <c r="O225" s="29">
        <f>(IF(H225="",Assumptions!$B$3,H225)-G225)/365.25</f>
        <v>1.429158110882957</v>
      </c>
      <c r="P225" s="14" t="str">
        <f t="shared" si="14"/>
        <v>25 to 34</v>
      </c>
      <c r="Q225" s="14" t="str">
        <f t="shared" si="15"/>
        <v>1 to 3 yrs</v>
      </c>
      <c r="R225" s="30">
        <f>K225/INDEX(Assumptions!$B$9:$B$13,MATCH(E225,Assumptions!$A$9:$A$13,0))</f>
        <v>0.9810526315789474</v>
      </c>
    </row>
    <row r="226" spans="1:18" x14ac:dyDescent="0.35">
      <c r="A226" s="26" t="s">
        <v>516</v>
      </c>
      <c r="B226" s="26" t="s">
        <v>517</v>
      </c>
      <c r="C226" s="26" t="s">
        <v>20</v>
      </c>
      <c r="D226" s="26" t="s">
        <v>30</v>
      </c>
      <c r="E226" s="26" t="s">
        <v>58</v>
      </c>
      <c r="F226" s="26" t="s">
        <v>66</v>
      </c>
      <c r="G226" s="27">
        <v>45773</v>
      </c>
      <c r="H226" s="27"/>
      <c r="I226" s="26"/>
      <c r="J226" s="26">
        <v>24</v>
      </c>
      <c r="K226" s="28">
        <v>254000</v>
      </c>
      <c r="L226" s="26">
        <v>5</v>
      </c>
      <c r="M226" s="14" t="str">
        <f t="shared" si="12"/>
        <v>Active</v>
      </c>
      <c r="N226" s="14" t="str">
        <f t="shared" si="13"/>
        <v/>
      </c>
      <c r="O226" s="29">
        <f>(IF(H226="",Assumptions!$B$3,H226)-G226)/365.25</f>
        <v>1.429158110882957</v>
      </c>
      <c r="P226" s="14" t="str">
        <f t="shared" si="14"/>
        <v>Under 25</v>
      </c>
      <c r="Q226" s="14" t="str">
        <f t="shared" si="15"/>
        <v>1 to 3 yrs</v>
      </c>
      <c r="R226" s="30">
        <f>K226/INDEX(Assumptions!$B$9:$B$13,MATCH(E226,Assumptions!$A$9:$A$13,0))</f>
        <v>0.72571428571428576</v>
      </c>
    </row>
    <row r="227" spans="1:18" x14ac:dyDescent="0.35">
      <c r="A227" s="26" t="s">
        <v>518</v>
      </c>
      <c r="B227" s="26" t="s">
        <v>519</v>
      </c>
      <c r="C227" s="26" t="s">
        <v>21</v>
      </c>
      <c r="D227" s="26" t="s">
        <v>30</v>
      </c>
      <c r="E227" s="26" t="s">
        <v>58</v>
      </c>
      <c r="F227" s="26" t="s">
        <v>65</v>
      </c>
      <c r="G227" s="27">
        <v>45785</v>
      </c>
      <c r="H227" s="27"/>
      <c r="I227" s="26"/>
      <c r="J227" s="26">
        <v>24</v>
      </c>
      <c r="K227" s="28">
        <v>303000</v>
      </c>
      <c r="L227" s="26">
        <v>4</v>
      </c>
      <c r="M227" s="14" t="str">
        <f t="shared" si="12"/>
        <v>Active</v>
      </c>
      <c r="N227" s="14" t="str">
        <f t="shared" si="13"/>
        <v/>
      </c>
      <c r="O227" s="29">
        <f>(IF(H227="",Assumptions!$B$3,H227)-G227)/365.25</f>
        <v>1.3963039014373717</v>
      </c>
      <c r="P227" s="14" t="str">
        <f t="shared" si="14"/>
        <v>Under 25</v>
      </c>
      <c r="Q227" s="14" t="str">
        <f t="shared" si="15"/>
        <v>1 to 3 yrs</v>
      </c>
      <c r="R227" s="30">
        <f>K227/INDEX(Assumptions!$B$9:$B$13,MATCH(E227,Assumptions!$A$9:$A$13,0))</f>
        <v>0.86571428571428577</v>
      </c>
    </row>
    <row r="228" spans="1:18" x14ac:dyDescent="0.35">
      <c r="A228" s="26" t="s">
        <v>520</v>
      </c>
      <c r="B228" s="26" t="s">
        <v>521</v>
      </c>
      <c r="C228" s="26" t="s">
        <v>20</v>
      </c>
      <c r="D228" s="26" t="s">
        <v>32</v>
      </c>
      <c r="E228" s="26" t="s">
        <v>60</v>
      </c>
      <c r="F228" s="26" t="s">
        <v>65</v>
      </c>
      <c r="G228" s="27">
        <v>45793</v>
      </c>
      <c r="H228" s="27"/>
      <c r="I228" s="26"/>
      <c r="J228" s="26">
        <v>31</v>
      </c>
      <c r="K228" s="28">
        <v>814000</v>
      </c>
      <c r="L228" s="26">
        <v>3</v>
      </c>
      <c r="M228" s="14" t="str">
        <f t="shared" si="12"/>
        <v>Active</v>
      </c>
      <c r="N228" s="14" t="str">
        <f t="shared" si="13"/>
        <v/>
      </c>
      <c r="O228" s="29">
        <f>(IF(H228="",Assumptions!$B$3,H228)-G228)/365.25</f>
        <v>1.3744010951403149</v>
      </c>
      <c r="P228" s="14" t="str">
        <f t="shared" si="14"/>
        <v>25 to 34</v>
      </c>
      <c r="Q228" s="14" t="str">
        <f t="shared" si="15"/>
        <v>1 to 3 yrs</v>
      </c>
      <c r="R228" s="30">
        <f>K228/INDEX(Assumptions!$B$9:$B$13,MATCH(E228,Assumptions!$A$9:$A$13,0))</f>
        <v>0.85684210526315785</v>
      </c>
    </row>
    <row r="229" spans="1:18" x14ac:dyDescent="0.35">
      <c r="A229" s="26" t="s">
        <v>522</v>
      </c>
      <c r="B229" s="26" t="s">
        <v>523</v>
      </c>
      <c r="C229" s="26" t="s">
        <v>21</v>
      </c>
      <c r="D229" s="26" t="s">
        <v>31</v>
      </c>
      <c r="E229" s="26" t="s">
        <v>58</v>
      </c>
      <c r="F229" s="26" t="s">
        <v>66</v>
      </c>
      <c r="G229" s="27">
        <v>45796</v>
      </c>
      <c r="H229" s="27"/>
      <c r="I229" s="26"/>
      <c r="J229" s="26">
        <v>24</v>
      </c>
      <c r="K229" s="28">
        <v>364000</v>
      </c>
      <c r="L229" s="26">
        <v>3</v>
      </c>
      <c r="M229" s="14" t="str">
        <f t="shared" si="12"/>
        <v>Active</v>
      </c>
      <c r="N229" s="14" t="str">
        <f t="shared" si="13"/>
        <v/>
      </c>
      <c r="O229" s="29">
        <f>(IF(H229="",Assumptions!$B$3,H229)-G229)/365.25</f>
        <v>1.3661875427789185</v>
      </c>
      <c r="P229" s="14" t="str">
        <f t="shared" si="14"/>
        <v>Under 25</v>
      </c>
      <c r="Q229" s="14" t="str">
        <f t="shared" si="15"/>
        <v>1 to 3 yrs</v>
      </c>
      <c r="R229" s="30">
        <f>K229/INDEX(Assumptions!$B$9:$B$13,MATCH(E229,Assumptions!$A$9:$A$13,0))</f>
        <v>1.04</v>
      </c>
    </row>
    <row r="230" spans="1:18" x14ac:dyDescent="0.35">
      <c r="A230" s="26" t="s">
        <v>524</v>
      </c>
      <c r="B230" s="26" t="s">
        <v>525</v>
      </c>
      <c r="C230" s="26" t="s">
        <v>20</v>
      </c>
      <c r="D230" s="26" t="s">
        <v>30</v>
      </c>
      <c r="E230" s="26" t="s">
        <v>58</v>
      </c>
      <c r="F230" s="26" t="s">
        <v>67</v>
      </c>
      <c r="G230" s="27">
        <v>45798</v>
      </c>
      <c r="H230" s="27"/>
      <c r="I230" s="26"/>
      <c r="J230" s="26">
        <v>23</v>
      </c>
      <c r="K230" s="28">
        <v>275000</v>
      </c>
      <c r="L230" s="26">
        <v>1</v>
      </c>
      <c r="M230" s="14" t="str">
        <f t="shared" si="12"/>
        <v>Active</v>
      </c>
      <c r="N230" s="14" t="str">
        <f t="shared" si="13"/>
        <v/>
      </c>
      <c r="O230" s="29">
        <f>(IF(H230="",Assumptions!$B$3,H230)-G230)/365.25</f>
        <v>1.3607118412046544</v>
      </c>
      <c r="P230" s="14" t="str">
        <f t="shared" si="14"/>
        <v>Under 25</v>
      </c>
      <c r="Q230" s="14" t="str">
        <f t="shared" si="15"/>
        <v>1 to 3 yrs</v>
      </c>
      <c r="R230" s="30">
        <f>K230/INDEX(Assumptions!$B$9:$B$13,MATCH(E230,Assumptions!$A$9:$A$13,0))</f>
        <v>0.7857142857142857</v>
      </c>
    </row>
    <row r="231" spans="1:18" x14ac:dyDescent="0.35">
      <c r="A231" s="26" t="s">
        <v>526</v>
      </c>
      <c r="B231" s="26" t="s">
        <v>527</v>
      </c>
      <c r="C231" s="26" t="s">
        <v>20</v>
      </c>
      <c r="D231" s="26" t="s">
        <v>34</v>
      </c>
      <c r="E231" s="26" t="s">
        <v>58</v>
      </c>
      <c r="F231" s="26" t="s">
        <v>66</v>
      </c>
      <c r="G231" s="27">
        <v>45800</v>
      </c>
      <c r="H231" s="27"/>
      <c r="I231" s="26"/>
      <c r="J231" s="26">
        <v>24</v>
      </c>
      <c r="K231" s="28">
        <v>302000</v>
      </c>
      <c r="L231" s="26">
        <v>2</v>
      </c>
      <c r="M231" s="14" t="str">
        <f t="shared" si="12"/>
        <v>Active</v>
      </c>
      <c r="N231" s="14" t="str">
        <f t="shared" si="13"/>
        <v/>
      </c>
      <c r="O231" s="29">
        <f>(IF(H231="",Assumptions!$B$3,H231)-G231)/365.25</f>
        <v>1.3552361396303902</v>
      </c>
      <c r="P231" s="14" t="str">
        <f t="shared" si="14"/>
        <v>Under 25</v>
      </c>
      <c r="Q231" s="14" t="str">
        <f t="shared" si="15"/>
        <v>1 to 3 yrs</v>
      </c>
      <c r="R231" s="30">
        <f>K231/INDEX(Assumptions!$B$9:$B$13,MATCH(E231,Assumptions!$A$9:$A$13,0))</f>
        <v>0.86285714285714288</v>
      </c>
    </row>
    <row r="232" spans="1:18" x14ac:dyDescent="0.35">
      <c r="A232" s="26" t="s">
        <v>528</v>
      </c>
      <c r="B232" s="26" t="s">
        <v>529</v>
      </c>
      <c r="C232" s="26" t="s">
        <v>20</v>
      </c>
      <c r="D232" s="26" t="s">
        <v>31</v>
      </c>
      <c r="E232" s="26" t="s">
        <v>59</v>
      </c>
      <c r="F232" s="26" t="s">
        <v>68</v>
      </c>
      <c r="G232" s="27">
        <v>45808</v>
      </c>
      <c r="H232" s="27"/>
      <c r="I232" s="26"/>
      <c r="J232" s="26">
        <v>26</v>
      </c>
      <c r="K232" s="28">
        <v>580000</v>
      </c>
      <c r="L232" s="26">
        <v>4</v>
      </c>
      <c r="M232" s="14" t="str">
        <f t="shared" si="12"/>
        <v>Active</v>
      </c>
      <c r="N232" s="14" t="str">
        <f t="shared" si="13"/>
        <v/>
      </c>
      <c r="O232" s="29">
        <f>(IF(H232="",Assumptions!$B$3,H232)-G232)/365.25</f>
        <v>1.3333333333333333</v>
      </c>
      <c r="P232" s="14" t="str">
        <f t="shared" si="14"/>
        <v>25 to 34</v>
      </c>
      <c r="Q232" s="14" t="str">
        <f t="shared" si="15"/>
        <v>1 to 3 yrs</v>
      </c>
      <c r="R232" s="30">
        <f>K232/INDEX(Assumptions!$B$9:$B$13,MATCH(E232,Assumptions!$A$9:$A$13,0))</f>
        <v>1.0545454545454545</v>
      </c>
    </row>
    <row r="233" spans="1:18" x14ac:dyDescent="0.35">
      <c r="A233" s="26" t="s">
        <v>530</v>
      </c>
      <c r="B233" s="26" t="s">
        <v>125</v>
      </c>
      <c r="C233" s="26" t="s">
        <v>21</v>
      </c>
      <c r="D233" s="26" t="s">
        <v>30</v>
      </c>
      <c r="E233" s="26" t="s">
        <v>59</v>
      </c>
      <c r="F233" s="26" t="s">
        <v>69</v>
      </c>
      <c r="G233" s="27">
        <v>45814</v>
      </c>
      <c r="H233" s="27"/>
      <c r="I233" s="26"/>
      <c r="J233" s="26">
        <v>28</v>
      </c>
      <c r="K233" s="28">
        <v>526000</v>
      </c>
      <c r="L233" s="26">
        <v>5</v>
      </c>
      <c r="M233" s="14" t="str">
        <f t="shared" si="12"/>
        <v>Active</v>
      </c>
      <c r="N233" s="14" t="str">
        <f t="shared" si="13"/>
        <v/>
      </c>
      <c r="O233" s="29">
        <f>(IF(H233="",Assumptions!$B$3,H233)-G233)/365.25</f>
        <v>1.3169062286105406</v>
      </c>
      <c r="P233" s="14" t="str">
        <f t="shared" si="14"/>
        <v>25 to 34</v>
      </c>
      <c r="Q233" s="14" t="str">
        <f t="shared" si="15"/>
        <v>1 to 3 yrs</v>
      </c>
      <c r="R233" s="30">
        <f>K233/INDEX(Assumptions!$B$9:$B$13,MATCH(E233,Assumptions!$A$9:$A$13,0))</f>
        <v>0.95636363636363642</v>
      </c>
    </row>
    <row r="234" spans="1:18" x14ac:dyDescent="0.35">
      <c r="A234" s="26" t="s">
        <v>531</v>
      </c>
      <c r="B234" s="26" t="s">
        <v>532</v>
      </c>
      <c r="C234" s="26" t="s">
        <v>20</v>
      </c>
      <c r="D234" s="26" t="s">
        <v>29</v>
      </c>
      <c r="E234" s="26" t="s">
        <v>58</v>
      </c>
      <c r="F234" s="26" t="s">
        <v>67</v>
      </c>
      <c r="G234" s="27">
        <v>45816</v>
      </c>
      <c r="H234" s="27"/>
      <c r="I234" s="26"/>
      <c r="J234" s="26">
        <v>24</v>
      </c>
      <c r="K234" s="28">
        <v>346000</v>
      </c>
      <c r="L234" s="26">
        <v>3</v>
      </c>
      <c r="M234" s="14" t="str">
        <f t="shared" si="12"/>
        <v>Active</v>
      </c>
      <c r="N234" s="14" t="str">
        <f t="shared" si="13"/>
        <v/>
      </c>
      <c r="O234" s="29">
        <f>(IF(H234="",Assumptions!$B$3,H234)-G234)/365.25</f>
        <v>1.3114305270362765</v>
      </c>
      <c r="P234" s="14" t="str">
        <f t="shared" si="14"/>
        <v>Under 25</v>
      </c>
      <c r="Q234" s="14" t="str">
        <f t="shared" si="15"/>
        <v>1 to 3 yrs</v>
      </c>
      <c r="R234" s="30">
        <f>K234/INDEX(Assumptions!$B$9:$B$13,MATCH(E234,Assumptions!$A$9:$A$13,0))</f>
        <v>0.98857142857142855</v>
      </c>
    </row>
    <row r="235" spans="1:18" x14ac:dyDescent="0.35">
      <c r="A235" s="26" t="s">
        <v>533</v>
      </c>
      <c r="B235" s="26" t="s">
        <v>534</v>
      </c>
      <c r="C235" s="26" t="s">
        <v>21</v>
      </c>
      <c r="D235" s="26" t="s">
        <v>31</v>
      </c>
      <c r="E235" s="26" t="s">
        <v>60</v>
      </c>
      <c r="F235" s="26" t="s">
        <v>69</v>
      </c>
      <c r="G235" s="27">
        <v>45816</v>
      </c>
      <c r="H235" s="27"/>
      <c r="I235" s="26"/>
      <c r="J235" s="26">
        <v>30</v>
      </c>
      <c r="K235" s="28">
        <v>1186000</v>
      </c>
      <c r="L235" s="26">
        <v>3</v>
      </c>
      <c r="M235" s="14" t="str">
        <f t="shared" si="12"/>
        <v>Active</v>
      </c>
      <c r="N235" s="14" t="str">
        <f t="shared" si="13"/>
        <v/>
      </c>
      <c r="O235" s="29">
        <f>(IF(H235="",Assumptions!$B$3,H235)-G235)/365.25</f>
        <v>1.3114305270362765</v>
      </c>
      <c r="P235" s="14" t="str">
        <f t="shared" si="14"/>
        <v>25 to 34</v>
      </c>
      <c r="Q235" s="14" t="str">
        <f t="shared" si="15"/>
        <v>1 to 3 yrs</v>
      </c>
      <c r="R235" s="30">
        <f>K235/INDEX(Assumptions!$B$9:$B$13,MATCH(E235,Assumptions!$A$9:$A$13,0))</f>
        <v>1.2484210526315789</v>
      </c>
    </row>
    <row r="236" spans="1:18" x14ac:dyDescent="0.35">
      <c r="A236" s="26" t="s">
        <v>535</v>
      </c>
      <c r="B236" s="26" t="s">
        <v>536</v>
      </c>
      <c r="C236" s="26" t="s">
        <v>21</v>
      </c>
      <c r="D236" s="26" t="s">
        <v>29</v>
      </c>
      <c r="E236" s="26" t="s">
        <v>60</v>
      </c>
      <c r="F236" s="26" t="s">
        <v>65</v>
      </c>
      <c r="G236" s="27">
        <v>45818</v>
      </c>
      <c r="H236" s="27">
        <v>46101</v>
      </c>
      <c r="I236" s="26" t="s">
        <v>191</v>
      </c>
      <c r="J236" s="26">
        <v>34</v>
      </c>
      <c r="K236" s="28">
        <v>927000</v>
      </c>
      <c r="L236" s="26">
        <v>1</v>
      </c>
      <c r="M236" s="14" t="str">
        <f t="shared" si="12"/>
        <v>Exited</v>
      </c>
      <c r="N236" s="14" t="str">
        <f t="shared" si="13"/>
        <v>Involuntary</v>
      </c>
      <c r="O236" s="29">
        <f>(IF(H236="",Assumptions!$B$3,H236)-G236)/365.25</f>
        <v>0.77481177275838464</v>
      </c>
      <c r="P236" s="14" t="str">
        <f t="shared" si="14"/>
        <v>25 to 34</v>
      </c>
      <c r="Q236" s="14" t="str">
        <f t="shared" si="15"/>
        <v>Under 1 yr</v>
      </c>
      <c r="R236" s="30">
        <f>K236/INDEX(Assumptions!$B$9:$B$13,MATCH(E236,Assumptions!$A$9:$A$13,0))</f>
        <v>0.97578947368421054</v>
      </c>
    </row>
    <row r="237" spans="1:18" x14ac:dyDescent="0.35">
      <c r="A237" s="26" t="s">
        <v>537</v>
      </c>
      <c r="B237" s="26" t="s">
        <v>538</v>
      </c>
      <c r="C237" s="26" t="s">
        <v>21</v>
      </c>
      <c r="D237" s="26" t="s">
        <v>29</v>
      </c>
      <c r="E237" s="26" t="s">
        <v>60</v>
      </c>
      <c r="F237" s="26" t="s">
        <v>66</v>
      </c>
      <c r="G237" s="27">
        <v>45819</v>
      </c>
      <c r="H237" s="27"/>
      <c r="I237" s="26"/>
      <c r="J237" s="26">
        <v>35</v>
      </c>
      <c r="K237" s="28">
        <v>952000</v>
      </c>
      <c r="L237" s="26">
        <v>4</v>
      </c>
      <c r="M237" s="14" t="str">
        <f t="shared" si="12"/>
        <v>Active</v>
      </c>
      <c r="N237" s="14" t="str">
        <f t="shared" si="13"/>
        <v/>
      </c>
      <c r="O237" s="29">
        <f>(IF(H237="",Assumptions!$B$3,H237)-G237)/365.25</f>
        <v>1.3032169746748803</v>
      </c>
      <c r="P237" s="14" t="str">
        <f t="shared" si="14"/>
        <v>35 to 44</v>
      </c>
      <c r="Q237" s="14" t="str">
        <f t="shared" si="15"/>
        <v>1 to 3 yrs</v>
      </c>
      <c r="R237" s="30">
        <f>K237/INDEX(Assumptions!$B$9:$B$13,MATCH(E237,Assumptions!$A$9:$A$13,0))</f>
        <v>1.0021052631578948</v>
      </c>
    </row>
    <row r="238" spans="1:18" x14ac:dyDescent="0.35">
      <c r="A238" s="26" t="s">
        <v>539</v>
      </c>
      <c r="B238" s="26" t="s">
        <v>540</v>
      </c>
      <c r="C238" s="26" t="s">
        <v>20</v>
      </c>
      <c r="D238" s="26" t="s">
        <v>31</v>
      </c>
      <c r="E238" s="26" t="s">
        <v>61</v>
      </c>
      <c r="F238" s="26" t="s">
        <v>66</v>
      </c>
      <c r="G238" s="27">
        <v>45822</v>
      </c>
      <c r="H238" s="27"/>
      <c r="I238" s="26"/>
      <c r="J238" s="26">
        <v>41</v>
      </c>
      <c r="K238" s="28">
        <v>1895000</v>
      </c>
      <c r="L238" s="26">
        <v>4</v>
      </c>
      <c r="M238" s="14" t="str">
        <f t="shared" si="12"/>
        <v>Active</v>
      </c>
      <c r="N238" s="14" t="str">
        <f t="shared" si="13"/>
        <v/>
      </c>
      <c r="O238" s="29">
        <f>(IF(H238="",Assumptions!$B$3,H238)-G238)/365.25</f>
        <v>1.2950034223134839</v>
      </c>
      <c r="P238" s="14" t="str">
        <f t="shared" si="14"/>
        <v>35 to 44</v>
      </c>
      <c r="Q238" s="14" t="str">
        <f t="shared" si="15"/>
        <v>1 to 3 yrs</v>
      </c>
      <c r="R238" s="30">
        <f>K238/INDEX(Assumptions!$B$9:$B$13,MATCH(E238,Assumptions!$A$9:$A$13,0))</f>
        <v>1.1484848484848484</v>
      </c>
    </row>
    <row r="239" spans="1:18" x14ac:dyDescent="0.35">
      <c r="A239" s="26" t="s">
        <v>541</v>
      </c>
      <c r="B239" s="26" t="s">
        <v>149</v>
      </c>
      <c r="C239" s="26" t="s">
        <v>20</v>
      </c>
      <c r="D239" s="26" t="s">
        <v>35</v>
      </c>
      <c r="E239" s="26" t="s">
        <v>61</v>
      </c>
      <c r="F239" s="26" t="s">
        <v>66</v>
      </c>
      <c r="G239" s="27">
        <v>45822</v>
      </c>
      <c r="H239" s="27"/>
      <c r="I239" s="26"/>
      <c r="J239" s="26">
        <v>41</v>
      </c>
      <c r="K239" s="28">
        <v>1427000</v>
      </c>
      <c r="L239" s="26">
        <v>5</v>
      </c>
      <c r="M239" s="14" t="str">
        <f t="shared" si="12"/>
        <v>Active</v>
      </c>
      <c r="N239" s="14" t="str">
        <f t="shared" si="13"/>
        <v/>
      </c>
      <c r="O239" s="29">
        <f>(IF(H239="",Assumptions!$B$3,H239)-G239)/365.25</f>
        <v>1.2950034223134839</v>
      </c>
      <c r="P239" s="14" t="str">
        <f t="shared" si="14"/>
        <v>35 to 44</v>
      </c>
      <c r="Q239" s="14" t="str">
        <f t="shared" si="15"/>
        <v>1 to 3 yrs</v>
      </c>
      <c r="R239" s="30">
        <f>K239/INDEX(Assumptions!$B$9:$B$13,MATCH(E239,Assumptions!$A$9:$A$13,0))</f>
        <v>0.86484848484848487</v>
      </c>
    </row>
    <row r="240" spans="1:18" x14ac:dyDescent="0.35">
      <c r="A240" s="26" t="s">
        <v>542</v>
      </c>
      <c r="B240" s="26" t="s">
        <v>113</v>
      </c>
      <c r="C240" s="26" t="s">
        <v>21</v>
      </c>
      <c r="D240" s="26" t="s">
        <v>29</v>
      </c>
      <c r="E240" s="26" t="s">
        <v>60</v>
      </c>
      <c r="F240" s="26" t="s">
        <v>67</v>
      </c>
      <c r="G240" s="27">
        <v>45826</v>
      </c>
      <c r="H240" s="27"/>
      <c r="I240" s="26"/>
      <c r="J240" s="26">
        <v>35</v>
      </c>
      <c r="K240" s="28">
        <v>882000</v>
      </c>
      <c r="L240" s="26">
        <v>3</v>
      </c>
      <c r="M240" s="14" t="str">
        <f t="shared" si="12"/>
        <v>Active</v>
      </c>
      <c r="N240" s="14" t="str">
        <f t="shared" si="13"/>
        <v/>
      </c>
      <c r="O240" s="29">
        <f>(IF(H240="",Assumptions!$B$3,H240)-G240)/365.25</f>
        <v>1.2840520191649556</v>
      </c>
      <c r="P240" s="14" t="str">
        <f t="shared" si="14"/>
        <v>35 to 44</v>
      </c>
      <c r="Q240" s="14" t="str">
        <f t="shared" si="15"/>
        <v>1 to 3 yrs</v>
      </c>
      <c r="R240" s="30">
        <f>K240/INDEX(Assumptions!$B$9:$B$13,MATCH(E240,Assumptions!$A$9:$A$13,0))</f>
        <v>0.92842105263157892</v>
      </c>
    </row>
    <row r="241" spans="1:18" x14ac:dyDescent="0.35">
      <c r="A241" s="26" t="s">
        <v>543</v>
      </c>
      <c r="B241" s="26" t="s">
        <v>544</v>
      </c>
      <c r="C241" s="26" t="s">
        <v>21</v>
      </c>
      <c r="D241" s="26" t="s">
        <v>34</v>
      </c>
      <c r="E241" s="26" t="s">
        <v>61</v>
      </c>
      <c r="F241" s="26" t="s">
        <v>65</v>
      </c>
      <c r="G241" s="27">
        <v>45833</v>
      </c>
      <c r="H241" s="27"/>
      <c r="I241" s="26"/>
      <c r="J241" s="26">
        <v>39</v>
      </c>
      <c r="K241" s="28">
        <v>1420000</v>
      </c>
      <c r="L241" s="26">
        <v>4</v>
      </c>
      <c r="M241" s="14" t="str">
        <f t="shared" si="12"/>
        <v>Active</v>
      </c>
      <c r="N241" s="14" t="str">
        <f t="shared" si="13"/>
        <v/>
      </c>
      <c r="O241" s="29">
        <f>(IF(H241="",Assumptions!$B$3,H241)-G241)/365.25</f>
        <v>1.2648870636550309</v>
      </c>
      <c r="P241" s="14" t="str">
        <f t="shared" si="14"/>
        <v>35 to 44</v>
      </c>
      <c r="Q241" s="14" t="str">
        <f t="shared" si="15"/>
        <v>1 to 3 yrs</v>
      </c>
      <c r="R241" s="30">
        <f>K241/INDEX(Assumptions!$B$9:$B$13,MATCH(E241,Assumptions!$A$9:$A$13,0))</f>
        <v>0.8606060606060606</v>
      </c>
    </row>
    <row r="242" spans="1:18" x14ac:dyDescent="0.35">
      <c r="A242" s="26" t="s">
        <v>545</v>
      </c>
      <c r="B242" s="26" t="s">
        <v>546</v>
      </c>
      <c r="C242" s="26" t="s">
        <v>21</v>
      </c>
      <c r="D242" s="26" t="s">
        <v>31</v>
      </c>
      <c r="E242" s="26" t="s">
        <v>58</v>
      </c>
      <c r="F242" s="26" t="s">
        <v>65</v>
      </c>
      <c r="G242" s="27">
        <v>45850</v>
      </c>
      <c r="H242" s="27">
        <v>45950</v>
      </c>
      <c r="I242" s="26" t="s">
        <v>176</v>
      </c>
      <c r="J242" s="26">
        <v>22</v>
      </c>
      <c r="K242" s="28">
        <v>459000</v>
      </c>
      <c r="L242" s="26">
        <v>4</v>
      </c>
      <c r="M242" s="14" t="str">
        <f t="shared" si="12"/>
        <v>Exited</v>
      </c>
      <c r="N242" s="14" t="str">
        <f t="shared" si="13"/>
        <v>Voluntary</v>
      </c>
      <c r="O242" s="29">
        <f>(IF(H242="",Assumptions!$B$3,H242)-G242)/365.25</f>
        <v>0.27378507871321012</v>
      </c>
      <c r="P242" s="14" t="str">
        <f t="shared" si="14"/>
        <v>Under 25</v>
      </c>
      <c r="Q242" s="14" t="str">
        <f t="shared" si="15"/>
        <v>Under 1 yr</v>
      </c>
      <c r="R242" s="30">
        <f>K242/INDEX(Assumptions!$B$9:$B$13,MATCH(E242,Assumptions!$A$9:$A$13,0))</f>
        <v>1.3114285714285714</v>
      </c>
    </row>
    <row r="243" spans="1:18" x14ac:dyDescent="0.35">
      <c r="A243" s="26" t="s">
        <v>547</v>
      </c>
      <c r="B243" s="26" t="s">
        <v>548</v>
      </c>
      <c r="C243" s="26" t="s">
        <v>21</v>
      </c>
      <c r="D243" s="26" t="s">
        <v>29</v>
      </c>
      <c r="E243" s="26" t="s">
        <v>59</v>
      </c>
      <c r="F243" s="26" t="s">
        <v>68</v>
      </c>
      <c r="G243" s="27">
        <v>45852</v>
      </c>
      <c r="H243" s="27"/>
      <c r="I243" s="26"/>
      <c r="J243" s="26">
        <v>29</v>
      </c>
      <c r="K243" s="28">
        <v>514000</v>
      </c>
      <c r="L243" s="26">
        <v>4</v>
      </c>
      <c r="M243" s="14" t="str">
        <f t="shared" si="12"/>
        <v>Active</v>
      </c>
      <c r="N243" s="14" t="str">
        <f t="shared" si="13"/>
        <v/>
      </c>
      <c r="O243" s="29">
        <f>(IF(H243="",Assumptions!$B$3,H243)-G243)/365.25</f>
        <v>1.2128678986995209</v>
      </c>
      <c r="P243" s="14" t="str">
        <f t="shared" si="14"/>
        <v>25 to 34</v>
      </c>
      <c r="Q243" s="14" t="str">
        <f t="shared" si="15"/>
        <v>1 to 3 yrs</v>
      </c>
      <c r="R243" s="30">
        <f>K243/INDEX(Assumptions!$B$9:$B$13,MATCH(E243,Assumptions!$A$9:$A$13,0))</f>
        <v>0.93454545454545457</v>
      </c>
    </row>
    <row r="244" spans="1:18" x14ac:dyDescent="0.35">
      <c r="A244" s="26" t="s">
        <v>549</v>
      </c>
      <c r="B244" s="26" t="s">
        <v>550</v>
      </c>
      <c r="C244" s="26" t="s">
        <v>20</v>
      </c>
      <c r="D244" s="26" t="s">
        <v>35</v>
      </c>
      <c r="E244" s="26" t="s">
        <v>61</v>
      </c>
      <c r="F244" s="26" t="s">
        <v>69</v>
      </c>
      <c r="G244" s="27">
        <v>45855</v>
      </c>
      <c r="H244" s="27"/>
      <c r="I244" s="26"/>
      <c r="J244" s="26">
        <v>35</v>
      </c>
      <c r="K244" s="28">
        <v>1466000</v>
      </c>
      <c r="L244" s="26">
        <v>2</v>
      </c>
      <c r="M244" s="14" t="str">
        <f t="shared" si="12"/>
        <v>Active</v>
      </c>
      <c r="N244" s="14" t="str">
        <f t="shared" si="13"/>
        <v/>
      </c>
      <c r="O244" s="29">
        <f>(IF(H244="",Assumptions!$B$3,H244)-G244)/365.25</f>
        <v>1.2046543463381245</v>
      </c>
      <c r="P244" s="14" t="str">
        <f t="shared" si="14"/>
        <v>35 to 44</v>
      </c>
      <c r="Q244" s="14" t="str">
        <f t="shared" si="15"/>
        <v>1 to 3 yrs</v>
      </c>
      <c r="R244" s="30">
        <f>K244/INDEX(Assumptions!$B$9:$B$13,MATCH(E244,Assumptions!$A$9:$A$13,0))</f>
        <v>0.88848484848484843</v>
      </c>
    </row>
    <row r="245" spans="1:18" x14ac:dyDescent="0.35">
      <c r="A245" s="26" t="s">
        <v>551</v>
      </c>
      <c r="B245" s="26" t="s">
        <v>552</v>
      </c>
      <c r="C245" s="26" t="s">
        <v>21</v>
      </c>
      <c r="D245" s="26" t="s">
        <v>31</v>
      </c>
      <c r="E245" s="26" t="s">
        <v>58</v>
      </c>
      <c r="F245" s="26" t="s">
        <v>66</v>
      </c>
      <c r="G245" s="27">
        <v>45865</v>
      </c>
      <c r="H245" s="27">
        <v>46062</v>
      </c>
      <c r="I245" s="26" t="s">
        <v>147</v>
      </c>
      <c r="J245" s="26">
        <v>24</v>
      </c>
      <c r="K245" s="28">
        <v>319000</v>
      </c>
      <c r="L245" s="26">
        <v>3</v>
      </c>
      <c r="M245" s="14" t="str">
        <f t="shared" si="12"/>
        <v>Exited</v>
      </c>
      <c r="N245" s="14" t="str">
        <f t="shared" si="13"/>
        <v>Voluntary</v>
      </c>
      <c r="O245" s="29">
        <f>(IF(H245="",Assumptions!$B$3,H245)-G245)/365.25</f>
        <v>0.53935660506502392</v>
      </c>
      <c r="P245" s="14" t="str">
        <f t="shared" si="14"/>
        <v>Under 25</v>
      </c>
      <c r="Q245" s="14" t="str">
        <f t="shared" si="15"/>
        <v>Under 1 yr</v>
      </c>
      <c r="R245" s="30">
        <f>K245/INDEX(Assumptions!$B$9:$B$13,MATCH(E245,Assumptions!$A$9:$A$13,0))</f>
        <v>0.91142857142857148</v>
      </c>
    </row>
    <row r="246" spans="1:18" x14ac:dyDescent="0.35">
      <c r="A246" s="26" t="s">
        <v>553</v>
      </c>
      <c r="B246" s="26" t="s">
        <v>554</v>
      </c>
      <c r="C246" s="26" t="s">
        <v>21</v>
      </c>
      <c r="D246" s="26" t="s">
        <v>29</v>
      </c>
      <c r="E246" s="26" t="s">
        <v>59</v>
      </c>
      <c r="F246" s="26" t="s">
        <v>67</v>
      </c>
      <c r="G246" s="27">
        <v>45868</v>
      </c>
      <c r="H246" s="27"/>
      <c r="I246" s="26"/>
      <c r="J246" s="26">
        <v>25</v>
      </c>
      <c r="K246" s="28">
        <v>580000</v>
      </c>
      <c r="L246" s="26">
        <v>3</v>
      </c>
      <c r="M246" s="14" t="str">
        <f t="shared" si="12"/>
        <v>Active</v>
      </c>
      <c r="N246" s="14" t="str">
        <f t="shared" si="13"/>
        <v/>
      </c>
      <c r="O246" s="29">
        <f>(IF(H246="",Assumptions!$B$3,H246)-G246)/365.25</f>
        <v>1.1690622861054072</v>
      </c>
      <c r="P246" s="14" t="str">
        <f t="shared" si="14"/>
        <v>25 to 34</v>
      </c>
      <c r="Q246" s="14" t="str">
        <f t="shared" si="15"/>
        <v>1 to 3 yrs</v>
      </c>
      <c r="R246" s="30">
        <f>K246/INDEX(Assumptions!$B$9:$B$13,MATCH(E246,Assumptions!$A$9:$A$13,0))</f>
        <v>1.0545454545454545</v>
      </c>
    </row>
    <row r="247" spans="1:18" x14ac:dyDescent="0.35">
      <c r="A247" s="26" t="s">
        <v>555</v>
      </c>
      <c r="B247" s="26" t="s">
        <v>463</v>
      </c>
      <c r="C247" s="26" t="s">
        <v>21</v>
      </c>
      <c r="D247" s="26" t="s">
        <v>33</v>
      </c>
      <c r="E247" s="26" t="s">
        <v>61</v>
      </c>
      <c r="F247" s="26" t="s">
        <v>69</v>
      </c>
      <c r="G247" s="27">
        <v>45868</v>
      </c>
      <c r="H247" s="27"/>
      <c r="I247" s="26"/>
      <c r="J247" s="26">
        <v>42</v>
      </c>
      <c r="K247" s="28">
        <v>1798000</v>
      </c>
      <c r="L247" s="26">
        <v>4</v>
      </c>
      <c r="M247" s="14" t="str">
        <f t="shared" si="12"/>
        <v>Active</v>
      </c>
      <c r="N247" s="14" t="str">
        <f t="shared" si="13"/>
        <v/>
      </c>
      <c r="O247" s="29">
        <f>(IF(H247="",Assumptions!$B$3,H247)-G247)/365.25</f>
        <v>1.1690622861054072</v>
      </c>
      <c r="P247" s="14" t="str">
        <f t="shared" si="14"/>
        <v>35 to 44</v>
      </c>
      <c r="Q247" s="14" t="str">
        <f t="shared" si="15"/>
        <v>1 to 3 yrs</v>
      </c>
      <c r="R247" s="30">
        <f>K247/INDEX(Assumptions!$B$9:$B$13,MATCH(E247,Assumptions!$A$9:$A$13,0))</f>
        <v>1.0896969696969696</v>
      </c>
    </row>
    <row r="248" spans="1:18" x14ac:dyDescent="0.35">
      <c r="A248" s="26" t="s">
        <v>556</v>
      </c>
      <c r="B248" s="26" t="s">
        <v>557</v>
      </c>
      <c r="C248" s="26" t="s">
        <v>21</v>
      </c>
      <c r="D248" s="26" t="s">
        <v>30</v>
      </c>
      <c r="E248" s="26" t="s">
        <v>59</v>
      </c>
      <c r="F248" s="26" t="s">
        <v>65</v>
      </c>
      <c r="G248" s="27">
        <v>45871</v>
      </c>
      <c r="H248" s="27"/>
      <c r="I248" s="26"/>
      <c r="J248" s="26">
        <v>24</v>
      </c>
      <c r="K248" s="28">
        <v>459000</v>
      </c>
      <c r="L248" s="26">
        <v>4</v>
      </c>
      <c r="M248" s="14" t="str">
        <f t="shared" si="12"/>
        <v>Active</v>
      </c>
      <c r="N248" s="14" t="str">
        <f t="shared" si="13"/>
        <v/>
      </c>
      <c r="O248" s="29">
        <f>(IF(H248="",Assumptions!$B$3,H248)-G248)/365.25</f>
        <v>1.160848733744011</v>
      </c>
      <c r="P248" s="14" t="str">
        <f t="shared" si="14"/>
        <v>Under 25</v>
      </c>
      <c r="Q248" s="14" t="str">
        <f t="shared" si="15"/>
        <v>1 to 3 yrs</v>
      </c>
      <c r="R248" s="30">
        <f>K248/INDEX(Assumptions!$B$9:$B$13,MATCH(E248,Assumptions!$A$9:$A$13,0))</f>
        <v>0.83454545454545459</v>
      </c>
    </row>
    <row r="249" spans="1:18" x14ac:dyDescent="0.35">
      <c r="A249" s="26" t="s">
        <v>558</v>
      </c>
      <c r="B249" s="26" t="s">
        <v>559</v>
      </c>
      <c r="C249" s="26" t="s">
        <v>20</v>
      </c>
      <c r="D249" s="26" t="s">
        <v>34</v>
      </c>
      <c r="E249" s="26" t="s">
        <v>60</v>
      </c>
      <c r="F249" s="26" t="s">
        <v>67</v>
      </c>
      <c r="G249" s="27">
        <v>45871</v>
      </c>
      <c r="H249" s="27"/>
      <c r="I249" s="26"/>
      <c r="J249" s="26">
        <v>30</v>
      </c>
      <c r="K249" s="28">
        <v>884000</v>
      </c>
      <c r="L249" s="26">
        <v>3</v>
      </c>
      <c r="M249" s="14" t="str">
        <f t="shared" si="12"/>
        <v>Active</v>
      </c>
      <c r="N249" s="14" t="str">
        <f t="shared" si="13"/>
        <v/>
      </c>
      <c r="O249" s="29">
        <f>(IF(H249="",Assumptions!$B$3,H249)-G249)/365.25</f>
        <v>1.160848733744011</v>
      </c>
      <c r="P249" s="14" t="str">
        <f t="shared" si="14"/>
        <v>25 to 34</v>
      </c>
      <c r="Q249" s="14" t="str">
        <f t="shared" si="15"/>
        <v>1 to 3 yrs</v>
      </c>
      <c r="R249" s="30">
        <f>K249/INDEX(Assumptions!$B$9:$B$13,MATCH(E249,Assumptions!$A$9:$A$13,0))</f>
        <v>0.93052631578947365</v>
      </c>
    </row>
    <row r="250" spans="1:18" x14ac:dyDescent="0.35">
      <c r="A250" s="26" t="s">
        <v>560</v>
      </c>
      <c r="B250" s="26" t="s">
        <v>515</v>
      </c>
      <c r="C250" s="26" t="s">
        <v>20</v>
      </c>
      <c r="D250" s="26" t="s">
        <v>35</v>
      </c>
      <c r="E250" s="26" t="s">
        <v>60</v>
      </c>
      <c r="F250" s="26" t="s">
        <v>66</v>
      </c>
      <c r="G250" s="27">
        <v>45877</v>
      </c>
      <c r="H250" s="27"/>
      <c r="I250" s="26"/>
      <c r="J250" s="26">
        <v>32</v>
      </c>
      <c r="K250" s="28">
        <v>954000</v>
      </c>
      <c r="L250" s="26">
        <v>4</v>
      </c>
      <c r="M250" s="14" t="str">
        <f t="shared" si="12"/>
        <v>Active</v>
      </c>
      <c r="N250" s="14" t="str">
        <f t="shared" si="13"/>
        <v/>
      </c>
      <c r="O250" s="29">
        <f>(IF(H250="",Assumptions!$B$3,H250)-G250)/365.25</f>
        <v>1.1444216290212184</v>
      </c>
      <c r="P250" s="14" t="str">
        <f t="shared" si="14"/>
        <v>25 to 34</v>
      </c>
      <c r="Q250" s="14" t="str">
        <f t="shared" si="15"/>
        <v>1 to 3 yrs</v>
      </c>
      <c r="R250" s="30">
        <f>K250/INDEX(Assumptions!$B$9:$B$13,MATCH(E250,Assumptions!$A$9:$A$13,0))</f>
        <v>1.0042105263157894</v>
      </c>
    </row>
    <row r="251" spans="1:18" x14ac:dyDescent="0.35">
      <c r="A251" s="26" t="s">
        <v>561</v>
      </c>
      <c r="B251" s="26" t="s">
        <v>562</v>
      </c>
      <c r="C251" s="26" t="s">
        <v>21</v>
      </c>
      <c r="D251" s="26" t="s">
        <v>32</v>
      </c>
      <c r="E251" s="26" t="s">
        <v>58</v>
      </c>
      <c r="F251" s="26" t="s">
        <v>69</v>
      </c>
      <c r="G251" s="27">
        <v>45878</v>
      </c>
      <c r="H251" s="27">
        <v>46231</v>
      </c>
      <c r="I251" s="26" t="s">
        <v>191</v>
      </c>
      <c r="J251" s="26">
        <v>22</v>
      </c>
      <c r="K251" s="28">
        <v>362000</v>
      </c>
      <c r="L251" s="26">
        <v>2</v>
      </c>
      <c r="M251" s="14" t="str">
        <f t="shared" si="12"/>
        <v>Exited</v>
      </c>
      <c r="N251" s="14" t="str">
        <f t="shared" si="13"/>
        <v>Involuntary</v>
      </c>
      <c r="O251" s="29">
        <f>(IF(H251="",Assumptions!$B$3,H251)-G251)/365.25</f>
        <v>0.96646132785763172</v>
      </c>
      <c r="P251" s="14" t="str">
        <f t="shared" si="14"/>
        <v>Under 25</v>
      </c>
      <c r="Q251" s="14" t="str">
        <f t="shared" si="15"/>
        <v>Under 1 yr</v>
      </c>
      <c r="R251" s="30">
        <f>K251/INDEX(Assumptions!$B$9:$B$13,MATCH(E251,Assumptions!$A$9:$A$13,0))</f>
        <v>1.0342857142857143</v>
      </c>
    </row>
    <row r="252" spans="1:18" x14ac:dyDescent="0.35">
      <c r="A252" s="26" t="s">
        <v>563</v>
      </c>
      <c r="B252" s="26" t="s">
        <v>227</v>
      </c>
      <c r="C252" s="26" t="s">
        <v>21</v>
      </c>
      <c r="D252" s="26" t="s">
        <v>29</v>
      </c>
      <c r="E252" s="26" t="s">
        <v>58</v>
      </c>
      <c r="F252" s="26" t="s">
        <v>66</v>
      </c>
      <c r="G252" s="27">
        <v>45895</v>
      </c>
      <c r="H252" s="27"/>
      <c r="I252" s="26"/>
      <c r="J252" s="26">
        <v>22</v>
      </c>
      <c r="K252" s="28">
        <v>345000</v>
      </c>
      <c r="L252" s="26">
        <v>3</v>
      </c>
      <c r="M252" s="14" t="str">
        <f t="shared" si="12"/>
        <v>Active</v>
      </c>
      <c r="N252" s="14" t="str">
        <f t="shared" si="13"/>
        <v/>
      </c>
      <c r="O252" s="29">
        <f>(IF(H252="",Assumptions!$B$3,H252)-G252)/365.25</f>
        <v>1.0951403148528405</v>
      </c>
      <c r="P252" s="14" t="str">
        <f t="shared" si="14"/>
        <v>Under 25</v>
      </c>
      <c r="Q252" s="14" t="str">
        <f t="shared" si="15"/>
        <v>1 to 3 yrs</v>
      </c>
      <c r="R252" s="30">
        <f>K252/INDEX(Assumptions!$B$9:$B$13,MATCH(E252,Assumptions!$A$9:$A$13,0))</f>
        <v>0.98571428571428577</v>
      </c>
    </row>
    <row r="253" spans="1:18" x14ac:dyDescent="0.35">
      <c r="A253" s="26" t="s">
        <v>564</v>
      </c>
      <c r="B253" s="26" t="s">
        <v>265</v>
      </c>
      <c r="C253" s="26" t="s">
        <v>21</v>
      </c>
      <c r="D253" s="26" t="s">
        <v>32</v>
      </c>
      <c r="E253" s="26" t="s">
        <v>58</v>
      </c>
      <c r="F253" s="26" t="s">
        <v>65</v>
      </c>
      <c r="G253" s="27">
        <v>45897</v>
      </c>
      <c r="H253" s="27"/>
      <c r="I253" s="26"/>
      <c r="J253" s="26">
        <v>23</v>
      </c>
      <c r="K253" s="28">
        <v>321000</v>
      </c>
      <c r="L253" s="26">
        <v>4</v>
      </c>
      <c r="M253" s="14" t="str">
        <f t="shared" si="12"/>
        <v>Active</v>
      </c>
      <c r="N253" s="14" t="str">
        <f t="shared" si="13"/>
        <v/>
      </c>
      <c r="O253" s="29">
        <f>(IF(H253="",Assumptions!$B$3,H253)-G253)/365.25</f>
        <v>1.0896646132785763</v>
      </c>
      <c r="P253" s="14" t="str">
        <f t="shared" si="14"/>
        <v>Under 25</v>
      </c>
      <c r="Q253" s="14" t="str">
        <f t="shared" si="15"/>
        <v>1 to 3 yrs</v>
      </c>
      <c r="R253" s="30">
        <f>K253/INDEX(Assumptions!$B$9:$B$13,MATCH(E253,Assumptions!$A$9:$A$13,0))</f>
        <v>0.91714285714285715</v>
      </c>
    </row>
    <row r="254" spans="1:18" x14ac:dyDescent="0.35">
      <c r="A254" s="26" t="s">
        <v>565</v>
      </c>
      <c r="B254" s="26" t="s">
        <v>566</v>
      </c>
      <c r="C254" s="26" t="s">
        <v>20</v>
      </c>
      <c r="D254" s="26" t="s">
        <v>32</v>
      </c>
      <c r="E254" s="26" t="s">
        <v>59</v>
      </c>
      <c r="F254" s="26" t="s">
        <v>65</v>
      </c>
      <c r="G254" s="27">
        <v>45907</v>
      </c>
      <c r="H254" s="27">
        <v>46288</v>
      </c>
      <c r="I254" s="26" t="s">
        <v>147</v>
      </c>
      <c r="J254" s="26">
        <v>28</v>
      </c>
      <c r="K254" s="28">
        <v>484000</v>
      </c>
      <c r="L254" s="26">
        <v>5</v>
      </c>
      <c r="M254" s="14" t="str">
        <f t="shared" si="12"/>
        <v>Exited</v>
      </c>
      <c r="N254" s="14" t="str">
        <f t="shared" si="13"/>
        <v>Voluntary</v>
      </c>
      <c r="O254" s="29">
        <f>(IF(H254="",Assumptions!$B$3,H254)-G254)/365.25</f>
        <v>1.0431211498973305</v>
      </c>
      <c r="P254" s="14" t="str">
        <f t="shared" si="14"/>
        <v>25 to 34</v>
      </c>
      <c r="Q254" s="14" t="str">
        <f t="shared" si="15"/>
        <v>1 to 3 yrs</v>
      </c>
      <c r="R254" s="30">
        <f>K254/INDEX(Assumptions!$B$9:$B$13,MATCH(E254,Assumptions!$A$9:$A$13,0))</f>
        <v>0.88</v>
      </c>
    </row>
    <row r="255" spans="1:18" x14ac:dyDescent="0.35">
      <c r="A255" s="26" t="s">
        <v>567</v>
      </c>
      <c r="B255" s="26" t="s">
        <v>568</v>
      </c>
      <c r="C255" s="26" t="s">
        <v>20</v>
      </c>
      <c r="D255" s="26" t="s">
        <v>34</v>
      </c>
      <c r="E255" s="26" t="s">
        <v>60</v>
      </c>
      <c r="F255" s="26" t="s">
        <v>67</v>
      </c>
      <c r="G255" s="27">
        <v>45921</v>
      </c>
      <c r="H255" s="27"/>
      <c r="I255" s="26"/>
      <c r="J255" s="26">
        <v>29</v>
      </c>
      <c r="K255" s="28">
        <v>905000</v>
      </c>
      <c r="L255" s="26">
        <v>3</v>
      </c>
      <c r="M255" s="14" t="str">
        <f t="shared" si="12"/>
        <v>Active</v>
      </c>
      <c r="N255" s="14" t="str">
        <f t="shared" si="13"/>
        <v/>
      </c>
      <c r="O255" s="29">
        <f>(IF(H255="",Assumptions!$B$3,H255)-G255)/365.25</f>
        <v>1.0239561943874058</v>
      </c>
      <c r="P255" s="14" t="str">
        <f t="shared" si="14"/>
        <v>25 to 34</v>
      </c>
      <c r="Q255" s="14" t="str">
        <f t="shared" si="15"/>
        <v>1 to 3 yrs</v>
      </c>
      <c r="R255" s="30">
        <f>K255/INDEX(Assumptions!$B$9:$B$13,MATCH(E255,Assumptions!$A$9:$A$13,0))</f>
        <v>0.95263157894736838</v>
      </c>
    </row>
    <row r="256" spans="1:18" x14ac:dyDescent="0.35">
      <c r="A256" s="26" t="s">
        <v>569</v>
      </c>
      <c r="B256" s="26" t="s">
        <v>519</v>
      </c>
      <c r="C256" s="26" t="s">
        <v>21</v>
      </c>
      <c r="D256" s="26" t="s">
        <v>29</v>
      </c>
      <c r="E256" s="26" t="s">
        <v>61</v>
      </c>
      <c r="F256" s="26" t="s">
        <v>68</v>
      </c>
      <c r="G256" s="27">
        <v>45922</v>
      </c>
      <c r="H256" s="27">
        <v>46117</v>
      </c>
      <c r="I256" s="26" t="s">
        <v>191</v>
      </c>
      <c r="J256" s="26">
        <v>33</v>
      </c>
      <c r="K256" s="28">
        <v>1583000</v>
      </c>
      <c r="L256" s="26">
        <v>2</v>
      </c>
      <c r="M256" s="14" t="str">
        <f t="shared" si="12"/>
        <v>Exited</v>
      </c>
      <c r="N256" s="14" t="str">
        <f t="shared" si="13"/>
        <v>Involuntary</v>
      </c>
      <c r="O256" s="29">
        <f>(IF(H256="",Assumptions!$B$3,H256)-G256)/365.25</f>
        <v>0.53388090349075978</v>
      </c>
      <c r="P256" s="14" t="str">
        <f t="shared" si="14"/>
        <v>25 to 34</v>
      </c>
      <c r="Q256" s="14" t="str">
        <f t="shared" si="15"/>
        <v>Under 1 yr</v>
      </c>
      <c r="R256" s="30">
        <f>K256/INDEX(Assumptions!$B$9:$B$13,MATCH(E256,Assumptions!$A$9:$A$13,0))</f>
        <v>0.95939393939393935</v>
      </c>
    </row>
    <row r="257" spans="1:18" x14ac:dyDescent="0.35">
      <c r="A257" s="26" t="s">
        <v>570</v>
      </c>
      <c r="B257" s="26" t="s">
        <v>467</v>
      </c>
      <c r="C257" s="26" t="s">
        <v>20</v>
      </c>
      <c r="D257" s="26" t="s">
        <v>31</v>
      </c>
      <c r="E257" s="26" t="s">
        <v>59</v>
      </c>
      <c r="F257" s="26" t="s">
        <v>66</v>
      </c>
      <c r="G257" s="27">
        <v>45936</v>
      </c>
      <c r="H257" s="27"/>
      <c r="I257" s="26"/>
      <c r="J257" s="26">
        <v>26</v>
      </c>
      <c r="K257" s="28">
        <v>728000</v>
      </c>
      <c r="L257" s="26">
        <v>3</v>
      </c>
      <c r="M257" s="14" t="str">
        <f t="shared" si="12"/>
        <v>Active</v>
      </c>
      <c r="N257" s="14" t="str">
        <f t="shared" si="13"/>
        <v/>
      </c>
      <c r="O257" s="29">
        <f>(IF(H257="",Assumptions!$B$3,H257)-G257)/365.25</f>
        <v>0.98288843258042435</v>
      </c>
      <c r="P257" s="14" t="str">
        <f t="shared" si="14"/>
        <v>25 to 34</v>
      </c>
      <c r="Q257" s="14" t="str">
        <f t="shared" si="15"/>
        <v>Under 1 yr</v>
      </c>
      <c r="R257" s="30">
        <f>K257/INDEX(Assumptions!$B$9:$B$13,MATCH(E257,Assumptions!$A$9:$A$13,0))</f>
        <v>1.3236363636363637</v>
      </c>
    </row>
    <row r="258" spans="1:18" x14ac:dyDescent="0.35">
      <c r="A258" s="26" t="s">
        <v>571</v>
      </c>
      <c r="B258" s="26" t="s">
        <v>436</v>
      </c>
      <c r="C258" s="26" t="s">
        <v>21</v>
      </c>
      <c r="D258" s="26" t="s">
        <v>32</v>
      </c>
      <c r="E258" s="26" t="s">
        <v>59</v>
      </c>
      <c r="F258" s="26" t="s">
        <v>66</v>
      </c>
      <c r="G258" s="27">
        <v>45937</v>
      </c>
      <c r="H258" s="27"/>
      <c r="I258" s="26"/>
      <c r="J258" s="26">
        <v>27</v>
      </c>
      <c r="K258" s="28">
        <v>572000</v>
      </c>
      <c r="L258" s="26">
        <v>5</v>
      </c>
      <c r="M258" s="14" t="str">
        <f t="shared" ref="M258:M321" si="16">IF(H258="","Active","Exited")</f>
        <v>Active</v>
      </c>
      <c r="N258" s="14" t="str">
        <f t="shared" ref="N258:N321" si="17">IF(H258="","",IF(OR(I258="Performance Termination",I258="Restructuring"),"Involuntary","Voluntary"))</f>
        <v/>
      </c>
      <c r="O258" s="29">
        <f>(IF(H258="",Assumptions!$B$3,H258)-G258)/365.25</f>
        <v>0.98015058179329229</v>
      </c>
      <c r="P258" s="14" t="str">
        <f t="shared" ref="P258:P321" si="18">IF(J258&lt;25,"Under 25",IF(J258&lt;35,"25 to 34",IF(J258&lt;45,"35 to 44",IF(J258&lt;55,"45 to 54","55 and above"))))</f>
        <v>25 to 34</v>
      </c>
      <c r="Q258" s="14" t="str">
        <f t="shared" ref="Q258:Q321" si="19">IF(O258&lt;1,"Under 1 yr",IF(O258&lt;3,"1 to 3 yrs",IF(O258&lt;5,"3 to 5 yrs",IF(O258&lt;10,"5 to 10 yrs","10+ yrs"))))</f>
        <v>Under 1 yr</v>
      </c>
      <c r="R258" s="30">
        <f>K258/INDEX(Assumptions!$B$9:$B$13,MATCH(E258,Assumptions!$A$9:$A$13,0))</f>
        <v>1.04</v>
      </c>
    </row>
    <row r="259" spans="1:18" x14ac:dyDescent="0.35">
      <c r="A259" s="26" t="s">
        <v>572</v>
      </c>
      <c r="B259" s="26" t="s">
        <v>573</v>
      </c>
      <c r="C259" s="26" t="s">
        <v>21</v>
      </c>
      <c r="D259" s="26" t="s">
        <v>32</v>
      </c>
      <c r="E259" s="26" t="s">
        <v>60</v>
      </c>
      <c r="F259" s="26" t="s">
        <v>69</v>
      </c>
      <c r="G259" s="27">
        <v>45939</v>
      </c>
      <c r="H259" s="27"/>
      <c r="I259" s="26"/>
      <c r="J259" s="26">
        <v>31</v>
      </c>
      <c r="K259" s="28">
        <v>792000</v>
      </c>
      <c r="L259" s="26">
        <v>5</v>
      </c>
      <c r="M259" s="14" t="str">
        <f t="shared" si="16"/>
        <v>Active</v>
      </c>
      <c r="N259" s="14" t="str">
        <f t="shared" si="17"/>
        <v/>
      </c>
      <c r="O259" s="29">
        <f>(IF(H259="",Assumptions!$B$3,H259)-G259)/365.25</f>
        <v>0.97467488021902804</v>
      </c>
      <c r="P259" s="14" t="str">
        <f t="shared" si="18"/>
        <v>25 to 34</v>
      </c>
      <c r="Q259" s="14" t="str">
        <f t="shared" si="19"/>
        <v>Under 1 yr</v>
      </c>
      <c r="R259" s="30">
        <f>K259/INDEX(Assumptions!$B$9:$B$13,MATCH(E259,Assumptions!$A$9:$A$13,0))</f>
        <v>0.83368421052631581</v>
      </c>
    </row>
    <row r="260" spans="1:18" x14ac:dyDescent="0.35">
      <c r="A260" s="26" t="s">
        <v>574</v>
      </c>
      <c r="B260" s="26" t="s">
        <v>276</v>
      </c>
      <c r="C260" s="26" t="s">
        <v>21</v>
      </c>
      <c r="D260" s="26" t="s">
        <v>29</v>
      </c>
      <c r="E260" s="26" t="s">
        <v>60</v>
      </c>
      <c r="F260" s="26" t="s">
        <v>66</v>
      </c>
      <c r="G260" s="27">
        <v>45944</v>
      </c>
      <c r="H260" s="27"/>
      <c r="I260" s="26"/>
      <c r="J260" s="26">
        <v>33</v>
      </c>
      <c r="K260" s="28">
        <v>1037000</v>
      </c>
      <c r="L260" s="26">
        <v>4</v>
      </c>
      <c r="M260" s="14" t="str">
        <f t="shared" si="16"/>
        <v>Active</v>
      </c>
      <c r="N260" s="14" t="str">
        <f t="shared" si="17"/>
        <v/>
      </c>
      <c r="O260" s="29">
        <f>(IF(H260="",Assumptions!$B$3,H260)-G260)/365.25</f>
        <v>0.96098562628336759</v>
      </c>
      <c r="P260" s="14" t="str">
        <f t="shared" si="18"/>
        <v>25 to 34</v>
      </c>
      <c r="Q260" s="14" t="str">
        <f t="shared" si="19"/>
        <v>Under 1 yr</v>
      </c>
      <c r="R260" s="30">
        <f>K260/INDEX(Assumptions!$B$9:$B$13,MATCH(E260,Assumptions!$A$9:$A$13,0))</f>
        <v>1.091578947368421</v>
      </c>
    </row>
    <row r="261" spans="1:18" x14ac:dyDescent="0.35">
      <c r="A261" s="26" t="s">
        <v>575</v>
      </c>
      <c r="B261" s="26" t="s">
        <v>576</v>
      </c>
      <c r="C261" s="26" t="s">
        <v>21</v>
      </c>
      <c r="D261" s="26" t="s">
        <v>29</v>
      </c>
      <c r="E261" s="26" t="s">
        <v>60</v>
      </c>
      <c r="F261" s="26" t="s">
        <v>65</v>
      </c>
      <c r="G261" s="27">
        <v>45947</v>
      </c>
      <c r="H261" s="27"/>
      <c r="I261" s="26"/>
      <c r="J261" s="26">
        <v>30</v>
      </c>
      <c r="K261" s="28">
        <v>835000</v>
      </c>
      <c r="L261" s="26">
        <v>5</v>
      </c>
      <c r="M261" s="14" t="str">
        <f t="shared" si="16"/>
        <v>Active</v>
      </c>
      <c r="N261" s="14" t="str">
        <f t="shared" si="17"/>
        <v/>
      </c>
      <c r="O261" s="29">
        <f>(IF(H261="",Assumptions!$B$3,H261)-G261)/365.25</f>
        <v>0.95277207392197127</v>
      </c>
      <c r="P261" s="14" t="str">
        <f t="shared" si="18"/>
        <v>25 to 34</v>
      </c>
      <c r="Q261" s="14" t="str">
        <f t="shared" si="19"/>
        <v>Under 1 yr</v>
      </c>
      <c r="R261" s="30">
        <f>K261/INDEX(Assumptions!$B$9:$B$13,MATCH(E261,Assumptions!$A$9:$A$13,0))</f>
        <v>0.87894736842105259</v>
      </c>
    </row>
    <row r="262" spans="1:18" x14ac:dyDescent="0.35">
      <c r="A262" s="26" t="s">
        <v>577</v>
      </c>
      <c r="B262" s="26" t="s">
        <v>578</v>
      </c>
      <c r="C262" s="26" t="s">
        <v>20</v>
      </c>
      <c r="D262" s="26" t="s">
        <v>31</v>
      </c>
      <c r="E262" s="26" t="s">
        <v>61</v>
      </c>
      <c r="F262" s="26" t="s">
        <v>68</v>
      </c>
      <c r="G262" s="27">
        <v>45957</v>
      </c>
      <c r="H262" s="27"/>
      <c r="I262" s="26"/>
      <c r="J262" s="26">
        <v>38</v>
      </c>
      <c r="K262" s="28">
        <v>2054000</v>
      </c>
      <c r="L262" s="26">
        <v>3</v>
      </c>
      <c r="M262" s="14" t="str">
        <f t="shared" si="16"/>
        <v>Active</v>
      </c>
      <c r="N262" s="14" t="str">
        <f t="shared" si="17"/>
        <v/>
      </c>
      <c r="O262" s="29">
        <f>(IF(H262="",Assumptions!$B$3,H262)-G262)/365.25</f>
        <v>0.92539356605065026</v>
      </c>
      <c r="P262" s="14" t="str">
        <f t="shared" si="18"/>
        <v>35 to 44</v>
      </c>
      <c r="Q262" s="14" t="str">
        <f t="shared" si="19"/>
        <v>Under 1 yr</v>
      </c>
      <c r="R262" s="30">
        <f>K262/INDEX(Assumptions!$B$9:$B$13,MATCH(E262,Assumptions!$A$9:$A$13,0))</f>
        <v>1.2448484848484849</v>
      </c>
    </row>
    <row r="263" spans="1:18" x14ac:dyDescent="0.35">
      <c r="A263" s="26" t="s">
        <v>579</v>
      </c>
      <c r="B263" s="26" t="s">
        <v>580</v>
      </c>
      <c r="C263" s="26" t="s">
        <v>20</v>
      </c>
      <c r="D263" s="26" t="s">
        <v>33</v>
      </c>
      <c r="E263" s="26" t="s">
        <v>58</v>
      </c>
      <c r="F263" s="26" t="s">
        <v>68</v>
      </c>
      <c r="G263" s="27">
        <v>45957</v>
      </c>
      <c r="H263" s="27">
        <v>46196</v>
      </c>
      <c r="I263" s="26" t="s">
        <v>147</v>
      </c>
      <c r="J263" s="26">
        <v>24</v>
      </c>
      <c r="K263" s="28">
        <v>271000</v>
      </c>
      <c r="L263" s="26">
        <v>4</v>
      </c>
      <c r="M263" s="14" t="str">
        <f t="shared" si="16"/>
        <v>Exited</v>
      </c>
      <c r="N263" s="14" t="str">
        <f t="shared" si="17"/>
        <v>Voluntary</v>
      </c>
      <c r="O263" s="29">
        <f>(IF(H263="",Assumptions!$B$3,H263)-G263)/365.25</f>
        <v>0.65434633812457221</v>
      </c>
      <c r="P263" s="14" t="str">
        <f t="shared" si="18"/>
        <v>Under 25</v>
      </c>
      <c r="Q263" s="14" t="str">
        <f t="shared" si="19"/>
        <v>Under 1 yr</v>
      </c>
      <c r="R263" s="30">
        <f>K263/INDEX(Assumptions!$B$9:$B$13,MATCH(E263,Assumptions!$A$9:$A$13,0))</f>
        <v>0.77428571428571424</v>
      </c>
    </row>
    <row r="264" spans="1:18" x14ac:dyDescent="0.35">
      <c r="A264" s="26" t="s">
        <v>581</v>
      </c>
      <c r="B264" s="26" t="s">
        <v>582</v>
      </c>
      <c r="C264" s="26" t="s">
        <v>21</v>
      </c>
      <c r="D264" s="26" t="s">
        <v>32</v>
      </c>
      <c r="E264" s="26" t="s">
        <v>60</v>
      </c>
      <c r="F264" s="26" t="s">
        <v>66</v>
      </c>
      <c r="G264" s="27">
        <v>45966</v>
      </c>
      <c r="H264" s="27">
        <v>46095</v>
      </c>
      <c r="I264" s="26" t="s">
        <v>176</v>
      </c>
      <c r="J264" s="26">
        <v>34</v>
      </c>
      <c r="K264" s="28">
        <v>872000</v>
      </c>
      <c r="L264" s="26">
        <v>3</v>
      </c>
      <c r="M264" s="14" t="str">
        <f t="shared" si="16"/>
        <v>Exited</v>
      </c>
      <c r="N264" s="14" t="str">
        <f t="shared" si="17"/>
        <v>Voluntary</v>
      </c>
      <c r="O264" s="29">
        <f>(IF(H264="",Assumptions!$B$3,H264)-G264)/365.25</f>
        <v>0.35318275154004108</v>
      </c>
      <c r="P264" s="14" t="str">
        <f t="shared" si="18"/>
        <v>25 to 34</v>
      </c>
      <c r="Q264" s="14" t="str">
        <f t="shared" si="19"/>
        <v>Under 1 yr</v>
      </c>
      <c r="R264" s="30">
        <f>K264/INDEX(Assumptions!$B$9:$B$13,MATCH(E264,Assumptions!$A$9:$A$13,0))</f>
        <v>0.91789473684210521</v>
      </c>
    </row>
    <row r="265" spans="1:18" x14ac:dyDescent="0.35">
      <c r="A265" s="26" t="s">
        <v>583</v>
      </c>
      <c r="B265" s="26" t="s">
        <v>141</v>
      </c>
      <c r="C265" s="26" t="s">
        <v>21</v>
      </c>
      <c r="D265" s="26" t="s">
        <v>35</v>
      </c>
      <c r="E265" s="26" t="s">
        <v>61</v>
      </c>
      <c r="F265" s="26" t="s">
        <v>68</v>
      </c>
      <c r="G265" s="27">
        <v>45973</v>
      </c>
      <c r="H265" s="27"/>
      <c r="I265" s="26"/>
      <c r="J265" s="26">
        <v>38</v>
      </c>
      <c r="K265" s="28">
        <v>1880000</v>
      </c>
      <c r="L265" s="26">
        <v>4</v>
      </c>
      <c r="M265" s="14" t="str">
        <f t="shared" si="16"/>
        <v>Active</v>
      </c>
      <c r="N265" s="14" t="str">
        <f t="shared" si="17"/>
        <v/>
      </c>
      <c r="O265" s="29">
        <f>(IF(H265="",Assumptions!$B$3,H265)-G265)/365.25</f>
        <v>0.88158795345653662</v>
      </c>
      <c r="P265" s="14" t="str">
        <f t="shared" si="18"/>
        <v>35 to 44</v>
      </c>
      <c r="Q265" s="14" t="str">
        <f t="shared" si="19"/>
        <v>Under 1 yr</v>
      </c>
      <c r="R265" s="30">
        <f>K265/INDEX(Assumptions!$B$9:$B$13,MATCH(E265,Assumptions!$A$9:$A$13,0))</f>
        <v>1.1393939393939394</v>
      </c>
    </row>
    <row r="266" spans="1:18" x14ac:dyDescent="0.35">
      <c r="A266" s="26" t="s">
        <v>584</v>
      </c>
      <c r="B266" s="26" t="s">
        <v>585</v>
      </c>
      <c r="C266" s="26" t="s">
        <v>20</v>
      </c>
      <c r="D266" s="26" t="s">
        <v>35</v>
      </c>
      <c r="E266" s="26" t="s">
        <v>58</v>
      </c>
      <c r="F266" s="26" t="s">
        <v>68</v>
      </c>
      <c r="G266" s="27">
        <v>45975</v>
      </c>
      <c r="H266" s="27"/>
      <c r="I266" s="26"/>
      <c r="J266" s="26">
        <v>23</v>
      </c>
      <c r="K266" s="28">
        <v>330000</v>
      </c>
      <c r="L266" s="26">
        <v>3</v>
      </c>
      <c r="M266" s="14" t="str">
        <f t="shared" si="16"/>
        <v>Active</v>
      </c>
      <c r="N266" s="14" t="str">
        <f t="shared" si="17"/>
        <v/>
      </c>
      <c r="O266" s="29">
        <f>(IF(H266="",Assumptions!$B$3,H266)-G266)/365.25</f>
        <v>0.87611225188227237</v>
      </c>
      <c r="P266" s="14" t="str">
        <f t="shared" si="18"/>
        <v>Under 25</v>
      </c>
      <c r="Q266" s="14" t="str">
        <f t="shared" si="19"/>
        <v>Under 1 yr</v>
      </c>
      <c r="R266" s="30">
        <f>K266/INDEX(Assumptions!$B$9:$B$13,MATCH(E266,Assumptions!$A$9:$A$13,0))</f>
        <v>0.94285714285714284</v>
      </c>
    </row>
    <row r="267" spans="1:18" x14ac:dyDescent="0.35">
      <c r="A267" s="26" t="s">
        <v>586</v>
      </c>
      <c r="B267" s="26" t="s">
        <v>587</v>
      </c>
      <c r="C267" s="26" t="s">
        <v>21</v>
      </c>
      <c r="D267" s="26" t="s">
        <v>31</v>
      </c>
      <c r="E267" s="26" t="s">
        <v>58</v>
      </c>
      <c r="F267" s="26" t="s">
        <v>69</v>
      </c>
      <c r="G267" s="27">
        <v>45983</v>
      </c>
      <c r="H267" s="27">
        <v>46127</v>
      </c>
      <c r="I267" s="26" t="s">
        <v>147</v>
      </c>
      <c r="J267" s="26">
        <v>24</v>
      </c>
      <c r="K267" s="28">
        <v>361000</v>
      </c>
      <c r="L267" s="26">
        <v>5</v>
      </c>
      <c r="M267" s="14" t="str">
        <f t="shared" si="16"/>
        <v>Exited</v>
      </c>
      <c r="N267" s="14" t="str">
        <f t="shared" si="17"/>
        <v>Voluntary</v>
      </c>
      <c r="O267" s="29">
        <f>(IF(H267="",Assumptions!$B$3,H267)-G267)/365.25</f>
        <v>0.3942505133470226</v>
      </c>
      <c r="P267" s="14" t="str">
        <f t="shared" si="18"/>
        <v>Under 25</v>
      </c>
      <c r="Q267" s="14" t="str">
        <f t="shared" si="19"/>
        <v>Under 1 yr</v>
      </c>
      <c r="R267" s="30">
        <f>K267/INDEX(Assumptions!$B$9:$B$13,MATCH(E267,Assumptions!$A$9:$A$13,0))</f>
        <v>1.0314285714285714</v>
      </c>
    </row>
    <row r="268" spans="1:18" x14ac:dyDescent="0.35">
      <c r="A268" s="26" t="s">
        <v>588</v>
      </c>
      <c r="B268" s="26" t="s">
        <v>167</v>
      </c>
      <c r="C268" s="26" t="s">
        <v>20</v>
      </c>
      <c r="D268" s="26" t="s">
        <v>33</v>
      </c>
      <c r="E268" s="26" t="s">
        <v>60</v>
      </c>
      <c r="F268" s="26" t="s">
        <v>69</v>
      </c>
      <c r="G268" s="27">
        <v>45983</v>
      </c>
      <c r="H268" s="27"/>
      <c r="I268" s="26"/>
      <c r="J268" s="26">
        <v>33</v>
      </c>
      <c r="K268" s="28">
        <v>1016000</v>
      </c>
      <c r="L268" s="26">
        <v>2</v>
      </c>
      <c r="M268" s="14" t="str">
        <f t="shared" si="16"/>
        <v>Active</v>
      </c>
      <c r="N268" s="14" t="str">
        <f t="shared" si="17"/>
        <v/>
      </c>
      <c r="O268" s="29">
        <f>(IF(H268="",Assumptions!$B$3,H268)-G268)/365.25</f>
        <v>0.85420944558521561</v>
      </c>
      <c r="P268" s="14" t="str">
        <f t="shared" si="18"/>
        <v>25 to 34</v>
      </c>
      <c r="Q268" s="14" t="str">
        <f t="shared" si="19"/>
        <v>Under 1 yr</v>
      </c>
      <c r="R268" s="30">
        <f>K268/INDEX(Assumptions!$B$9:$B$13,MATCH(E268,Assumptions!$A$9:$A$13,0))</f>
        <v>1.0694736842105264</v>
      </c>
    </row>
    <row r="269" spans="1:18" x14ac:dyDescent="0.35">
      <c r="A269" s="26" t="s">
        <v>589</v>
      </c>
      <c r="B269" s="26" t="s">
        <v>590</v>
      </c>
      <c r="C269" s="26" t="s">
        <v>21</v>
      </c>
      <c r="D269" s="26" t="s">
        <v>30</v>
      </c>
      <c r="E269" s="26" t="s">
        <v>61</v>
      </c>
      <c r="F269" s="26" t="s">
        <v>65</v>
      </c>
      <c r="G269" s="27">
        <v>45984</v>
      </c>
      <c r="H269" s="27"/>
      <c r="I269" s="26"/>
      <c r="J269" s="26">
        <v>34</v>
      </c>
      <c r="K269" s="28">
        <v>1437000</v>
      </c>
      <c r="L269" s="26">
        <v>3</v>
      </c>
      <c r="M269" s="14" t="str">
        <f t="shared" si="16"/>
        <v>Active</v>
      </c>
      <c r="N269" s="14" t="str">
        <f t="shared" si="17"/>
        <v/>
      </c>
      <c r="O269" s="29">
        <f>(IF(H269="",Assumptions!$B$3,H269)-G269)/365.25</f>
        <v>0.85147159479808354</v>
      </c>
      <c r="P269" s="14" t="str">
        <f t="shared" si="18"/>
        <v>25 to 34</v>
      </c>
      <c r="Q269" s="14" t="str">
        <f t="shared" si="19"/>
        <v>Under 1 yr</v>
      </c>
      <c r="R269" s="30">
        <f>K269/INDEX(Assumptions!$B$9:$B$13,MATCH(E269,Assumptions!$A$9:$A$13,0))</f>
        <v>0.87090909090909085</v>
      </c>
    </row>
    <row r="270" spans="1:18" x14ac:dyDescent="0.35">
      <c r="A270" s="26" t="s">
        <v>591</v>
      </c>
      <c r="B270" s="26" t="s">
        <v>183</v>
      </c>
      <c r="C270" s="26" t="s">
        <v>20</v>
      </c>
      <c r="D270" s="26" t="s">
        <v>35</v>
      </c>
      <c r="E270" s="26" t="s">
        <v>58</v>
      </c>
      <c r="F270" s="26" t="s">
        <v>66</v>
      </c>
      <c r="G270" s="27">
        <v>45984</v>
      </c>
      <c r="H270" s="27">
        <v>46272</v>
      </c>
      <c r="I270" s="26" t="s">
        <v>147</v>
      </c>
      <c r="J270" s="26">
        <v>22</v>
      </c>
      <c r="K270" s="28">
        <v>319000</v>
      </c>
      <c r="L270" s="26">
        <v>4</v>
      </c>
      <c r="M270" s="14" t="str">
        <f t="shared" si="16"/>
        <v>Exited</v>
      </c>
      <c r="N270" s="14" t="str">
        <f t="shared" si="17"/>
        <v>Voluntary</v>
      </c>
      <c r="O270" s="29">
        <f>(IF(H270="",Assumptions!$B$3,H270)-G270)/365.25</f>
        <v>0.7885010266940452</v>
      </c>
      <c r="P270" s="14" t="str">
        <f t="shared" si="18"/>
        <v>Under 25</v>
      </c>
      <c r="Q270" s="14" t="str">
        <f t="shared" si="19"/>
        <v>Under 1 yr</v>
      </c>
      <c r="R270" s="30">
        <f>K270/INDEX(Assumptions!$B$9:$B$13,MATCH(E270,Assumptions!$A$9:$A$13,0))</f>
        <v>0.91142857142857148</v>
      </c>
    </row>
    <row r="271" spans="1:18" x14ac:dyDescent="0.35">
      <c r="A271" s="26" t="s">
        <v>592</v>
      </c>
      <c r="B271" s="26" t="s">
        <v>593</v>
      </c>
      <c r="C271" s="26" t="s">
        <v>21</v>
      </c>
      <c r="D271" s="26" t="s">
        <v>29</v>
      </c>
      <c r="E271" s="26" t="s">
        <v>62</v>
      </c>
      <c r="F271" s="26" t="s">
        <v>65</v>
      </c>
      <c r="G271" s="27">
        <v>45987</v>
      </c>
      <c r="H271" s="27"/>
      <c r="I271" s="26"/>
      <c r="J271" s="26">
        <v>45</v>
      </c>
      <c r="K271" s="28">
        <v>3153000</v>
      </c>
      <c r="L271" s="26">
        <v>3</v>
      </c>
      <c r="M271" s="14" t="str">
        <f t="shared" si="16"/>
        <v>Active</v>
      </c>
      <c r="N271" s="14" t="str">
        <f t="shared" si="17"/>
        <v/>
      </c>
      <c r="O271" s="29">
        <f>(IF(H271="",Assumptions!$B$3,H271)-G271)/365.25</f>
        <v>0.84325804243668723</v>
      </c>
      <c r="P271" s="14" t="str">
        <f t="shared" si="18"/>
        <v>45 to 54</v>
      </c>
      <c r="Q271" s="14" t="str">
        <f t="shared" si="19"/>
        <v>Under 1 yr</v>
      </c>
      <c r="R271" s="30">
        <f>K271/INDEX(Assumptions!$B$9:$B$13,MATCH(E271,Assumptions!$A$9:$A$13,0))</f>
        <v>1.0509999999999999</v>
      </c>
    </row>
    <row r="272" spans="1:18" x14ac:dyDescent="0.35">
      <c r="A272" s="26" t="s">
        <v>594</v>
      </c>
      <c r="B272" s="26" t="s">
        <v>595</v>
      </c>
      <c r="C272" s="26" t="s">
        <v>21</v>
      </c>
      <c r="D272" s="26" t="s">
        <v>33</v>
      </c>
      <c r="E272" s="26" t="s">
        <v>58</v>
      </c>
      <c r="F272" s="26" t="s">
        <v>67</v>
      </c>
      <c r="G272" s="27">
        <v>45991</v>
      </c>
      <c r="H272" s="27"/>
      <c r="I272" s="26"/>
      <c r="J272" s="26">
        <v>24</v>
      </c>
      <c r="K272" s="28">
        <v>361000</v>
      </c>
      <c r="L272" s="26">
        <v>4</v>
      </c>
      <c r="M272" s="14" t="str">
        <f t="shared" si="16"/>
        <v>Active</v>
      </c>
      <c r="N272" s="14" t="str">
        <f t="shared" si="17"/>
        <v/>
      </c>
      <c r="O272" s="29">
        <f>(IF(H272="",Assumptions!$B$3,H272)-G272)/365.25</f>
        <v>0.83230663928815884</v>
      </c>
      <c r="P272" s="14" t="str">
        <f t="shared" si="18"/>
        <v>Under 25</v>
      </c>
      <c r="Q272" s="14" t="str">
        <f t="shared" si="19"/>
        <v>Under 1 yr</v>
      </c>
      <c r="R272" s="30">
        <f>K272/INDEX(Assumptions!$B$9:$B$13,MATCH(E272,Assumptions!$A$9:$A$13,0))</f>
        <v>1.0314285714285714</v>
      </c>
    </row>
    <row r="273" spans="1:18" x14ac:dyDescent="0.35">
      <c r="A273" s="26" t="s">
        <v>596</v>
      </c>
      <c r="B273" s="26" t="s">
        <v>449</v>
      </c>
      <c r="C273" s="26" t="s">
        <v>21</v>
      </c>
      <c r="D273" s="26" t="s">
        <v>35</v>
      </c>
      <c r="E273" s="26" t="s">
        <v>61</v>
      </c>
      <c r="F273" s="26" t="s">
        <v>67</v>
      </c>
      <c r="G273" s="27">
        <v>45994</v>
      </c>
      <c r="H273" s="27"/>
      <c r="I273" s="26"/>
      <c r="J273" s="26">
        <v>35</v>
      </c>
      <c r="K273" s="28">
        <v>1579000</v>
      </c>
      <c r="L273" s="26">
        <v>3</v>
      </c>
      <c r="M273" s="14" t="str">
        <f t="shared" si="16"/>
        <v>Active</v>
      </c>
      <c r="N273" s="14" t="str">
        <f t="shared" si="17"/>
        <v/>
      </c>
      <c r="O273" s="29">
        <f>(IF(H273="",Assumptions!$B$3,H273)-G273)/365.25</f>
        <v>0.82409308692676253</v>
      </c>
      <c r="P273" s="14" t="str">
        <f t="shared" si="18"/>
        <v>35 to 44</v>
      </c>
      <c r="Q273" s="14" t="str">
        <f t="shared" si="19"/>
        <v>Under 1 yr</v>
      </c>
      <c r="R273" s="30">
        <f>K273/INDEX(Assumptions!$B$9:$B$13,MATCH(E273,Assumptions!$A$9:$A$13,0))</f>
        <v>0.95696969696969691</v>
      </c>
    </row>
    <row r="274" spans="1:18" x14ac:dyDescent="0.35">
      <c r="A274" s="26" t="s">
        <v>597</v>
      </c>
      <c r="B274" s="26" t="s">
        <v>424</v>
      </c>
      <c r="C274" s="26" t="s">
        <v>20</v>
      </c>
      <c r="D274" s="26" t="s">
        <v>33</v>
      </c>
      <c r="E274" s="26" t="s">
        <v>58</v>
      </c>
      <c r="F274" s="26" t="s">
        <v>66</v>
      </c>
      <c r="G274" s="27">
        <v>45998</v>
      </c>
      <c r="H274" s="27"/>
      <c r="I274" s="26"/>
      <c r="J274" s="26">
        <v>22</v>
      </c>
      <c r="K274" s="28">
        <v>343000</v>
      </c>
      <c r="L274" s="26">
        <v>3</v>
      </c>
      <c r="M274" s="14" t="str">
        <f t="shared" si="16"/>
        <v>Active</v>
      </c>
      <c r="N274" s="14" t="str">
        <f t="shared" si="17"/>
        <v/>
      </c>
      <c r="O274" s="29">
        <f>(IF(H274="",Assumptions!$B$3,H274)-G274)/365.25</f>
        <v>0.81314168377823404</v>
      </c>
      <c r="P274" s="14" t="str">
        <f t="shared" si="18"/>
        <v>Under 25</v>
      </c>
      <c r="Q274" s="14" t="str">
        <f t="shared" si="19"/>
        <v>Under 1 yr</v>
      </c>
      <c r="R274" s="30">
        <f>K274/INDEX(Assumptions!$B$9:$B$13,MATCH(E274,Assumptions!$A$9:$A$13,0))</f>
        <v>0.98</v>
      </c>
    </row>
    <row r="275" spans="1:18" x14ac:dyDescent="0.35">
      <c r="A275" s="26" t="s">
        <v>598</v>
      </c>
      <c r="B275" s="26" t="s">
        <v>599</v>
      </c>
      <c r="C275" s="26" t="s">
        <v>20</v>
      </c>
      <c r="D275" s="26" t="s">
        <v>29</v>
      </c>
      <c r="E275" s="26" t="s">
        <v>58</v>
      </c>
      <c r="F275" s="26" t="s">
        <v>65</v>
      </c>
      <c r="G275" s="27">
        <v>46007</v>
      </c>
      <c r="H275" s="27"/>
      <c r="I275" s="26"/>
      <c r="J275" s="26">
        <v>24</v>
      </c>
      <c r="K275" s="28">
        <v>331000</v>
      </c>
      <c r="L275" s="26">
        <v>3</v>
      </c>
      <c r="M275" s="14" t="str">
        <f t="shared" si="16"/>
        <v>Active</v>
      </c>
      <c r="N275" s="14" t="str">
        <f t="shared" si="17"/>
        <v/>
      </c>
      <c r="O275" s="29">
        <f>(IF(H275="",Assumptions!$B$3,H275)-G275)/365.25</f>
        <v>0.7885010266940452</v>
      </c>
      <c r="P275" s="14" t="str">
        <f t="shared" si="18"/>
        <v>Under 25</v>
      </c>
      <c r="Q275" s="14" t="str">
        <f t="shared" si="19"/>
        <v>Under 1 yr</v>
      </c>
      <c r="R275" s="30">
        <f>K275/INDEX(Assumptions!$B$9:$B$13,MATCH(E275,Assumptions!$A$9:$A$13,0))</f>
        <v>0.94571428571428573</v>
      </c>
    </row>
    <row r="276" spans="1:18" x14ac:dyDescent="0.35">
      <c r="A276" s="26" t="s">
        <v>600</v>
      </c>
      <c r="B276" s="26" t="s">
        <v>601</v>
      </c>
      <c r="C276" s="26" t="s">
        <v>20</v>
      </c>
      <c r="D276" s="26" t="s">
        <v>29</v>
      </c>
      <c r="E276" s="26" t="s">
        <v>58</v>
      </c>
      <c r="F276" s="26" t="s">
        <v>66</v>
      </c>
      <c r="G276" s="27">
        <v>46027</v>
      </c>
      <c r="H276" s="27"/>
      <c r="I276" s="26"/>
      <c r="J276" s="26">
        <v>24</v>
      </c>
      <c r="K276" s="28">
        <v>384000</v>
      </c>
      <c r="L276" s="26">
        <v>4</v>
      </c>
      <c r="M276" s="14" t="str">
        <f t="shared" si="16"/>
        <v>Active</v>
      </c>
      <c r="N276" s="14" t="str">
        <f t="shared" si="17"/>
        <v/>
      </c>
      <c r="O276" s="29">
        <f>(IF(H276="",Assumptions!$B$3,H276)-G276)/365.25</f>
        <v>0.73374401095140318</v>
      </c>
      <c r="P276" s="14" t="str">
        <f t="shared" si="18"/>
        <v>Under 25</v>
      </c>
      <c r="Q276" s="14" t="str">
        <f t="shared" si="19"/>
        <v>Under 1 yr</v>
      </c>
      <c r="R276" s="30">
        <f>K276/INDEX(Assumptions!$B$9:$B$13,MATCH(E276,Assumptions!$A$9:$A$13,0))</f>
        <v>1.0971428571428572</v>
      </c>
    </row>
    <row r="277" spans="1:18" x14ac:dyDescent="0.35">
      <c r="A277" s="26" t="s">
        <v>602</v>
      </c>
      <c r="B277" s="26" t="s">
        <v>603</v>
      </c>
      <c r="C277" s="26" t="s">
        <v>21</v>
      </c>
      <c r="D277" s="26" t="s">
        <v>29</v>
      </c>
      <c r="E277" s="26" t="s">
        <v>59</v>
      </c>
      <c r="F277" s="26" t="s">
        <v>68</v>
      </c>
      <c r="G277" s="27">
        <v>46032</v>
      </c>
      <c r="H277" s="27">
        <v>46154</v>
      </c>
      <c r="I277" s="26" t="s">
        <v>214</v>
      </c>
      <c r="J277" s="26">
        <v>27</v>
      </c>
      <c r="K277" s="28">
        <v>533000</v>
      </c>
      <c r="L277" s="26">
        <v>4</v>
      </c>
      <c r="M277" s="14" t="str">
        <f t="shared" si="16"/>
        <v>Exited</v>
      </c>
      <c r="N277" s="14" t="str">
        <f t="shared" si="17"/>
        <v>Voluntary</v>
      </c>
      <c r="O277" s="29">
        <f>(IF(H277="",Assumptions!$B$3,H277)-G277)/365.25</f>
        <v>0.33401779603011633</v>
      </c>
      <c r="P277" s="14" t="str">
        <f t="shared" si="18"/>
        <v>25 to 34</v>
      </c>
      <c r="Q277" s="14" t="str">
        <f t="shared" si="19"/>
        <v>Under 1 yr</v>
      </c>
      <c r="R277" s="30">
        <f>K277/INDEX(Assumptions!$B$9:$B$13,MATCH(E277,Assumptions!$A$9:$A$13,0))</f>
        <v>0.96909090909090911</v>
      </c>
    </row>
    <row r="278" spans="1:18" x14ac:dyDescent="0.35">
      <c r="A278" s="26" t="s">
        <v>604</v>
      </c>
      <c r="B278" s="26" t="s">
        <v>559</v>
      </c>
      <c r="C278" s="26" t="s">
        <v>20</v>
      </c>
      <c r="D278" s="26" t="s">
        <v>34</v>
      </c>
      <c r="E278" s="26" t="s">
        <v>60</v>
      </c>
      <c r="F278" s="26" t="s">
        <v>66</v>
      </c>
      <c r="G278" s="27">
        <v>46032</v>
      </c>
      <c r="H278" s="27"/>
      <c r="I278" s="26"/>
      <c r="J278" s="26">
        <v>33</v>
      </c>
      <c r="K278" s="28">
        <v>835000</v>
      </c>
      <c r="L278" s="26">
        <v>5</v>
      </c>
      <c r="M278" s="14" t="str">
        <f t="shared" si="16"/>
        <v>Active</v>
      </c>
      <c r="N278" s="14" t="str">
        <f t="shared" si="17"/>
        <v/>
      </c>
      <c r="O278" s="29">
        <f>(IF(H278="",Assumptions!$B$3,H278)-G278)/365.25</f>
        <v>0.72005475701574262</v>
      </c>
      <c r="P278" s="14" t="str">
        <f t="shared" si="18"/>
        <v>25 to 34</v>
      </c>
      <c r="Q278" s="14" t="str">
        <f t="shared" si="19"/>
        <v>Under 1 yr</v>
      </c>
      <c r="R278" s="30">
        <f>K278/INDEX(Assumptions!$B$9:$B$13,MATCH(E278,Assumptions!$A$9:$A$13,0))</f>
        <v>0.87894736842105259</v>
      </c>
    </row>
    <row r="279" spans="1:18" x14ac:dyDescent="0.35">
      <c r="A279" s="26" t="s">
        <v>605</v>
      </c>
      <c r="B279" s="26" t="s">
        <v>606</v>
      </c>
      <c r="C279" s="26" t="s">
        <v>20</v>
      </c>
      <c r="D279" s="26" t="s">
        <v>30</v>
      </c>
      <c r="E279" s="26" t="s">
        <v>58</v>
      </c>
      <c r="F279" s="26" t="s">
        <v>68</v>
      </c>
      <c r="G279" s="27">
        <v>46037</v>
      </c>
      <c r="H279" s="27">
        <v>46141</v>
      </c>
      <c r="I279" s="26" t="s">
        <v>207</v>
      </c>
      <c r="J279" s="26">
        <v>24</v>
      </c>
      <c r="K279" s="28">
        <v>239000</v>
      </c>
      <c r="L279" s="26">
        <v>5</v>
      </c>
      <c r="M279" s="14" t="str">
        <f t="shared" si="16"/>
        <v>Exited</v>
      </c>
      <c r="N279" s="14" t="str">
        <f t="shared" si="17"/>
        <v>Voluntary</v>
      </c>
      <c r="O279" s="29">
        <f>(IF(H279="",Assumptions!$B$3,H279)-G279)/365.25</f>
        <v>0.28473648186173856</v>
      </c>
      <c r="P279" s="14" t="str">
        <f t="shared" si="18"/>
        <v>Under 25</v>
      </c>
      <c r="Q279" s="14" t="str">
        <f t="shared" si="19"/>
        <v>Under 1 yr</v>
      </c>
      <c r="R279" s="30">
        <f>K279/INDEX(Assumptions!$B$9:$B$13,MATCH(E279,Assumptions!$A$9:$A$13,0))</f>
        <v>0.68285714285714283</v>
      </c>
    </row>
    <row r="280" spans="1:18" x14ac:dyDescent="0.35">
      <c r="A280" s="26" t="s">
        <v>607</v>
      </c>
      <c r="B280" s="26" t="s">
        <v>608</v>
      </c>
      <c r="C280" s="26" t="s">
        <v>21</v>
      </c>
      <c r="D280" s="26" t="s">
        <v>31</v>
      </c>
      <c r="E280" s="26" t="s">
        <v>60</v>
      </c>
      <c r="F280" s="26" t="s">
        <v>65</v>
      </c>
      <c r="G280" s="27">
        <v>46044</v>
      </c>
      <c r="H280" s="27"/>
      <c r="I280" s="26"/>
      <c r="J280" s="26">
        <v>31</v>
      </c>
      <c r="K280" s="28">
        <v>1144000</v>
      </c>
      <c r="L280" s="26">
        <v>4</v>
      </c>
      <c r="M280" s="14" t="str">
        <f t="shared" si="16"/>
        <v>Active</v>
      </c>
      <c r="N280" s="14" t="str">
        <f t="shared" si="17"/>
        <v/>
      </c>
      <c r="O280" s="29">
        <f>(IF(H280="",Assumptions!$B$3,H280)-G280)/365.25</f>
        <v>0.68720054757015747</v>
      </c>
      <c r="P280" s="14" t="str">
        <f t="shared" si="18"/>
        <v>25 to 34</v>
      </c>
      <c r="Q280" s="14" t="str">
        <f t="shared" si="19"/>
        <v>Under 1 yr</v>
      </c>
      <c r="R280" s="30">
        <f>K280/INDEX(Assumptions!$B$9:$B$13,MATCH(E280,Assumptions!$A$9:$A$13,0))</f>
        <v>1.2042105263157894</v>
      </c>
    </row>
    <row r="281" spans="1:18" x14ac:dyDescent="0.35">
      <c r="A281" s="26" t="s">
        <v>609</v>
      </c>
      <c r="B281" s="26" t="s">
        <v>610</v>
      </c>
      <c r="C281" s="26" t="s">
        <v>21</v>
      </c>
      <c r="D281" s="26" t="s">
        <v>29</v>
      </c>
      <c r="E281" s="26" t="s">
        <v>59</v>
      </c>
      <c r="F281" s="26" t="s">
        <v>65</v>
      </c>
      <c r="G281" s="27">
        <v>46047</v>
      </c>
      <c r="H281" s="27">
        <v>46160</v>
      </c>
      <c r="I281" s="26" t="s">
        <v>191</v>
      </c>
      <c r="J281" s="26">
        <v>24</v>
      </c>
      <c r="K281" s="28">
        <v>501000</v>
      </c>
      <c r="L281" s="26">
        <v>2</v>
      </c>
      <c r="M281" s="14" t="str">
        <f t="shared" si="16"/>
        <v>Exited</v>
      </c>
      <c r="N281" s="14" t="str">
        <f t="shared" si="17"/>
        <v>Involuntary</v>
      </c>
      <c r="O281" s="29">
        <f>(IF(H281="",Assumptions!$B$3,H281)-G281)/365.25</f>
        <v>0.30937713894592744</v>
      </c>
      <c r="P281" s="14" t="str">
        <f t="shared" si="18"/>
        <v>Under 25</v>
      </c>
      <c r="Q281" s="14" t="str">
        <f t="shared" si="19"/>
        <v>Under 1 yr</v>
      </c>
      <c r="R281" s="30">
        <f>K281/INDEX(Assumptions!$B$9:$B$13,MATCH(E281,Assumptions!$A$9:$A$13,0))</f>
        <v>0.91090909090909089</v>
      </c>
    </row>
    <row r="282" spans="1:18" x14ac:dyDescent="0.35">
      <c r="A282" s="26" t="s">
        <v>611</v>
      </c>
      <c r="B282" s="26" t="s">
        <v>612</v>
      </c>
      <c r="C282" s="26" t="s">
        <v>20</v>
      </c>
      <c r="D282" s="26" t="s">
        <v>32</v>
      </c>
      <c r="E282" s="26" t="s">
        <v>60</v>
      </c>
      <c r="F282" s="26" t="s">
        <v>66</v>
      </c>
      <c r="G282" s="27">
        <v>46050</v>
      </c>
      <c r="H282" s="27"/>
      <c r="I282" s="26"/>
      <c r="J282" s="26">
        <v>33</v>
      </c>
      <c r="K282" s="28">
        <v>768000</v>
      </c>
      <c r="L282" s="26">
        <v>2</v>
      </c>
      <c r="M282" s="14" t="str">
        <f t="shared" si="16"/>
        <v>Active</v>
      </c>
      <c r="N282" s="14" t="str">
        <f t="shared" si="17"/>
        <v/>
      </c>
      <c r="O282" s="29">
        <f>(IF(H282="",Assumptions!$B$3,H282)-G282)/365.25</f>
        <v>0.67077344284736484</v>
      </c>
      <c r="P282" s="14" t="str">
        <f t="shared" si="18"/>
        <v>25 to 34</v>
      </c>
      <c r="Q282" s="14" t="str">
        <f t="shared" si="19"/>
        <v>Under 1 yr</v>
      </c>
      <c r="R282" s="30">
        <f>K282/INDEX(Assumptions!$B$9:$B$13,MATCH(E282,Assumptions!$A$9:$A$13,0))</f>
        <v>0.80842105263157893</v>
      </c>
    </row>
    <row r="283" spans="1:18" x14ac:dyDescent="0.35">
      <c r="A283" s="26" t="s">
        <v>613</v>
      </c>
      <c r="B283" s="26" t="s">
        <v>317</v>
      </c>
      <c r="C283" s="26" t="s">
        <v>21</v>
      </c>
      <c r="D283" s="26" t="s">
        <v>29</v>
      </c>
      <c r="E283" s="26" t="s">
        <v>61</v>
      </c>
      <c r="F283" s="26" t="s">
        <v>68</v>
      </c>
      <c r="G283" s="27">
        <v>46051</v>
      </c>
      <c r="H283" s="27"/>
      <c r="I283" s="26"/>
      <c r="J283" s="26">
        <v>37</v>
      </c>
      <c r="K283" s="28">
        <v>1426000</v>
      </c>
      <c r="L283" s="26">
        <v>2</v>
      </c>
      <c r="M283" s="14" t="str">
        <f t="shared" si="16"/>
        <v>Active</v>
      </c>
      <c r="N283" s="14" t="str">
        <f t="shared" si="17"/>
        <v/>
      </c>
      <c r="O283" s="29">
        <f>(IF(H283="",Assumptions!$B$3,H283)-G283)/365.25</f>
        <v>0.66803559206023266</v>
      </c>
      <c r="P283" s="14" t="str">
        <f t="shared" si="18"/>
        <v>35 to 44</v>
      </c>
      <c r="Q283" s="14" t="str">
        <f t="shared" si="19"/>
        <v>Under 1 yr</v>
      </c>
      <c r="R283" s="30">
        <f>K283/INDEX(Assumptions!$B$9:$B$13,MATCH(E283,Assumptions!$A$9:$A$13,0))</f>
        <v>0.86424242424242426</v>
      </c>
    </row>
    <row r="284" spans="1:18" x14ac:dyDescent="0.35">
      <c r="A284" s="26" t="s">
        <v>614</v>
      </c>
      <c r="B284" s="26" t="s">
        <v>615</v>
      </c>
      <c r="C284" s="26" t="s">
        <v>21</v>
      </c>
      <c r="D284" s="26" t="s">
        <v>30</v>
      </c>
      <c r="E284" s="26" t="s">
        <v>58</v>
      </c>
      <c r="F284" s="26" t="s">
        <v>69</v>
      </c>
      <c r="G284" s="27">
        <v>46057</v>
      </c>
      <c r="H284" s="27"/>
      <c r="I284" s="26"/>
      <c r="J284" s="26">
        <v>24</v>
      </c>
      <c r="K284" s="28">
        <v>293000</v>
      </c>
      <c r="L284" s="26">
        <v>4</v>
      </c>
      <c r="M284" s="14" t="str">
        <f t="shared" si="16"/>
        <v>Active</v>
      </c>
      <c r="N284" s="14" t="str">
        <f t="shared" si="17"/>
        <v/>
      </c>
      <c r="O284" s="29">
        <f>(IF(H284="",Assumptions!$B$3,H284)-G284)/365.25</f>
        <v>0.65160848733744015</v>
      </c>
      <c r="P284" s="14" t="str">
        <f t="shared" si="18"/>
        <v>Under 25</v>
      </c>
      <c r="Q284" s="14" t="str">
        <f t="shared" si="19"/>
        <v>Under 1 yr</v>
      </c>
      <c r="R284" s="30">
        <f>K284/INDEX(Assumptions!$B$9:$B$13,MATCH(E284,Assumptions!$A$9:$A$13,0))</f>
        <v>0.83714285714285719</v>
      </c>
    </row>
    <row r="285" spans="1:18" x14ac:dyDescent="0.35">
      <c r="A285" s="26" t="s">
        <v>616</v>
      </c>
      <c r="B285" s="26" t="s">
        <v>617</v>
      </c>
      <c r="C285" s="26" t="s">
        <v>20</v>
      </c>
      <c r="D285" s="26" t="s">
        <v>30</v>
      </c>
      <c r="E285" s="26" t="s">
        <v>60</v>
      </c>
      <c r="F285" s="26" t="s">
        <v>65</v>
      </c>
      <c r="G285" s="27">
        <v>46058</v>
      </c>
      <c r="H285" s="27"/>
      <c r="I285" s="26"/>
      <c r="J285" s="26">
        <v>32</v>
      </c>
      <c r="K285" s="28">
        <v>716000</v>
      </c>
      <c r="L285" s="26">
        <v>4</v>
      </c>
      <c r="M285" s="14" t="str">
        <f t="shared" si="16"/>
        <v>Active</v>
      </c>
      <c r="N285" s="14" t="str">
        <f t="shared" si="17"/>
        <v/>
      </c>
      <c r="O285" s="29">
        <f>(IF(H285="",Assumptions!$B$3,H285)-G285)/365.25</f>
        <v>0.64887063655030797</v>
      </c>
      <c r="P285" s="14" t="str">
        <f t="shared" si="18"/>
        <v>25 to 34</v>
      </c>
      <c r="Q285" s="14" t="str">
        <f t="shared" si="19"/>
        <v>Under 1 yr</v>
      </c>
      <c r="R285" s="30">
        <f>K285/INDEX(Assumptions!$B$9:$B$13,MATCH(E285,Assumptions!$A$9:$A$13,0))</f>
        <v>0.75368421052631573</v>
      </c>
    </row>
    <row r="286" spans="1:18" x14ac:dyDescent="0.35">
      <c r="A286" s="26" t="s">
        <v>618</v>
      </c>
      <c r="B286" s="26" t="s">
        <v>619</v>
      </c>
      <c r="C286" s="26" t="s">
        <v>21</v>
      </c>
      <c r="D286" s="26" t="s">
        <v>33</v>
      </c>
      <c r="E286" s="26" t="s">
        <v>60</v>
      </c>
      <c r="F286" s="26" t="s">
        <v>65</v>
      </c>
      <c r="G286" s="27">
        <v>46060</v>
      </c>
      <c r="H286" s="27"/>
      <c r="I286" s="26"/>
      <c r="J286" s="26">
        <v>34</v>
      </c>
      <c r="K286" s="28">
        <v>862000</v>
      </c>
      <c r="L286" s="26">
        <v>5</v>
      </c>
      <c r="M286" s="14" t="str">
        <f t="shared" si="16"/>
        <v>Active</v>
      </c>
      <c r="N286" s="14" t="str">
        <f t="shared" si="17"/>
        <v/>
      </c>
      <c r="O286" s="29">
        <f>(IF(H286="",Assumptions!$B$3,H286)-G286)/365.25</f>
        <v>0.64339493497604383</v>
      </c>
      <c r="P286" s="14" t="str">
        <f t="shared" si="18"/>
        <v>25 to 34</v>
      </c>
      <c r="Q286" s="14" t="str">
        <f t="shared" si="19"/>
        <v>Under 1 yr</v>
      </c>
      <c r="R286" s="30">
        <f>K286/INDEX(Assumptions!$B$9:$B$13,MATCH(E286,Assumptions!$A$9:$A$13,0))</f>
        <v>0.9073684210526316</v>
      </c>
    </row>
    <row r="287" spans="1:18" x14ac:dyDescent="0.35">
      <c r="A287" s="26" t="s">
        <v>620</v>
      </c>
      <c r="B287" s="26" t="s">
        <v>621</v>
      </c>
      <c r="C287" s="26" t="s">
        <v>21</v>
      </c>
      <c r="D287" s="26" t="s">
        <v>31</v>
      </c>
      <c r="E287" s="26" t="s">
        <v>60</v>
      </c>
      <c r="F287" s="26" t="s">
        <v>65</v>
      </c>
      <c r="G287" s="27">
        <v>46068</v>
      </c>
      <c r="H287" s="27"/>
      <c r="I287" s="26"/>
      <c r="J287" s="26">
        <v>34</v>
      </c>
      <c r="K287" s="28">
        <v>1155000</v>
      </c>
      <c r="L287" s="26">
        <v>3</v>
      </c>
      <c r="M287" s="14" t="str">
        <f t="shared" si="16"/>
        <v>Active</v>
      </c>
      <c r="N287" s="14" t="str">
        <f t="shared" si="17"/>
        <v/>
      </c>
      <c r="O287" s="29">
        <f>(IF(H287="",Assumptions!$B$3,H287)-G287)/365.25</f>
        <v>0.62149212867898695</v>
      </c>
      <c r="P287" s="14" t="str">
        <f t="shared" si="18"/>
        <v>25 to 34</v>
      </c>
      <c r="Q287" s="14" t="str">
        <f t="shared" si="19"/>
        <v>Under 1 yr</v>
      </c>
      <c r="R287" s="30">
        <f>K287/INDEX(Assumptions!$B$9:$B$13,MATCH(E287,Assumptions!$A$9:$A$13,0))</f>
        <v>1.2157894736842105</v>
      </c>
    </row>
    <row r="288" spans="1:18" x14ac:dyDescent="0.35">
      <c r="A288" s="26" t="s">
        <v>622</v>
      </c>
      <c r="B288" s="26" t="s">
        <v>623</v>
      </c>
      <c r="C288" s="26" t="s">
        <v>20</v>
      </c>
      <c r="D288" s="26" t="s">
        <v>35</v>
      </c>
      <c r="E288" s="26" t="s">
        <v>58</v>
      </c>
      <c r="F288" s="26" t="s">
        <v>68</v>
      </c>
      <c r="G288" s="27">
        <v>46070</v>
      </c>
      <c r="H288" s="27"/>
      <c r="I288" s="26"/>
      <c r="J288" s="26">
        <v>22</v>
      </c>
      <c r="K288" s="28">
        <v>376000</v>
      </c>
      <c r="L288" s="26">
        <v>3</v>
      </c>
      <c r="M288" s="14" t="str">
        <f t="shared" si="16"/>
        <v>Active</v>
      </c>
      <c r="N288" s="14" t="str">
        <f t="shared" si="17"/>
        <v/>
      </c>
      <c r="O288" s="29">
        <f>(IF(H288="",Assumptions!$B$3,H288)-G288)/365.25</f>
        <v>0.61601642710472282</v>
      </c>
      <c r="P288" s="14" t="str">
        <f t="shared" si="18"/>
        <v>Under 25</v>
      </c>
      <c r="Q288" s="14" t="str">
        <f t="shared" si="19"/>
        <v>Under 1 yr</v>
      </c>
      <c r="R288" s="30">
        <f>K288/INDEX(Assumptions!$B$9:$B$13,MATCH(E288,Assumptions!$A$9:$A$13,0))</f>
        <v>1.0742857142857143</v>
      </c>
    </row>
    <row r="289" spans="1:18" x14ac:dyDescent="0.35">
      <c r="A289" s="26" t="s">
        <v>624</v>
      </c>
      <c r="B289" s="26" t="s">
        <v>625</v>
      </c>
      <c r="C289" s="26" t="s">
        <v>20</v>
      </c>
      <c r="D289" s="26" t="s">
        <v>35</v>
      </c>
      <c r="E289" s="26" t="s">
        <v>61</v>
      </c>
      <c r="F289" s="26" t="s">
        <v>69</v>
      </c>
      <c r="G289" s="27">
        <v>46071</v>
      </c>
      <c r="H289" s="27"/>
      <c r="I289" s="26"/>
      <c r="J289" s="26">
        <v>38</v>
      </c>
      <c r="K289" s="28">
        <v>1625000</v>
      </c>
      <c r="L289" s="26">
        <v>1</v>
      </c>
      <c r="M289" s="14" t="str">
        <f t="shared" si="16"/>
        <v>Active</v>
      </c>
      <c r="N289" s="14" t="str">
        <f t="shared" si="17"/>
        <v/>
      </c>
      <c r="O289" s="29">
        <f>(IF(H289="",Assumptions!$B$3,H289)-G289)/365.25</f>
        <v>0.61327857631759064</v>
      </c>
      <c r="P289" s="14" t="str">
        <f t="shared" si="18"/>
        <v>35 to 44</v>
      </c>
      <c r="Q289" s="14" t="str">
        <f t="shared" si="19"/>
        <v>Under 1 yr</v>
      </c>
      <c r="R289" s="30">
        <f>K289/INDEX(Assumptions!$B$9:$B$13,MATCH(E289,Assumptions!$A$9:$A$13,0))</f>
        <v>0.98484848484848486</v>
      </c>
    </row>
    <row r="290" spans="1:18" x14ac:dyDescent="0.35">
      <c r="A290" s="26" t="s">
        <v>626</v>
      </c>
      <c r="B290" s="26" t="s">
        <v>627</v>
      </c>
      <c r="C290" s="26" t="s">
        <v>21</v>
      </c>
      <c r="D290" s="26" t="s">
        <v>35</v>
      </c>
      <c r="E290" s="26" t="s">
        <v>61</v>
      </c>
      <c r="F290" s="26" t="s">
        <v>65</v>
      </c>
      <c r="G290" s="27">
        <v>46074</v>
      </c>
      <c r="H290" s="27"/>
      <c r="I290" s="26"/>
      <c r="J290" s="26">
        <v>41</v>
      </c>
      <c r="K290" s="28">
        <v>1483000</v>
      </c>
      <c r="L290" s="26">
        <v>5</v>
      </c>
      <c r="M290" s="14" t="str">
        <f t="shared" si="16"/>
        <v>Active</v>
      </c>
      <c r="N290" s="14" t="str">
        <f t="shared" si="17"/>
        <v/>
      </c>
      <c r="O290" s="29">
        <f>(IF(H290="",Assumptions!$B$3,H290)-G290)/365.25</f>
        <v>0.60506502395619444</v>
      </c>
      <c r="P290" s="14" t="str">
        <f t="shared" si="18"/>
        <v>35 to 44</v>
      </c>
      <c r="Q290" s="14" t="str">
        <f t="shared" si="19"/>
        <v>Under 1 yr</v>
      </c>
      <c r="R290" s="30">
        <f>K290/INDEX(Assumptions!$B$9:$B$13,MATCH(E290,Assumptions!$A$9:$A$13,0))</f>
        <v>0.8987878787878788</v>
      </c>
    </row>
    <row r="291" spans="1:18" x14ac:dyDescent="0.35">
      <c r="A291" s="26" t="s">
        <v>628</v>
      </c>
      <c r="B291" s="26" t="s">
        <v>568</v>
      </c>
      <c r="C291" s="26" t="s">
        <v>20</v>
      </c>
      <c r="D291" s="26" t="s">
        <v>35</v>
      </c>
      <c r="E291" s="26" t="s">
        <v>58</v>
      </c>
      <c r="F291" s="26" t="s">
        <v>66</v>
      </c>
      <c r="G291" s="27">
        <v>46079</v>
      </c>
      <c r="H291" s="27"/>
      <c r="I291" s="26"/>
      <c r="J291" s="26">
        <v>24</v>
      </c>
      <c r="K291" s="28">
        <v>313000</v>
      </c>
      <c r="L291" s="26">
        <v>3</v>
      </c>
      <c r="M291" s="14" t="str">
        <f t="shared" si="16"/>
        <v>Active</v>
      </c>
      <c r="N291" s="14" t="str">
        <f t="shared" si="17"/>
        <v/>
      </c>
      <c r="O291" s="29">
        <f>(IF(H291="",Assumptions!$B$3,H291)-G291)/365.25</f>
        <v>0.59137577002053388</v>
      </c>
      <c r="P291" s="14" t="str">
        <f t="shared" si="18"/>
        <v>Under 25</v>
      </c>
      <c r="Q291" s="14" t="str">
        <f t="shared" si="19"/>
        <v>Under 1 yr</v>
      </c>
      <c r="R291" s="30">
        <f>K291/INDEX(Assumptions!$B$9:$B$13,MATCH(E291,Assumptions!$A$9:$A$13,0))</f>
        <v>0.89428571428571424</v>
      </c>
    </row>
    <row r="292" spans="1:18" x14ac:dyDescent="0.35">
      <c r="A292" s="26" t="s">
        <v>629</v>
      </c>
      <c r="B292" s="26" t="s">
        <v>630</v>
      </c>
      <c r="C292" s="26" t="s">
        <v>21</v>
      </c>
      <c r="D292" s="26" t="s">
        <v>32</v>
      </c>
      <c r="E292" s="26" t="s">
        <v>58</v>
      </c>
      <c r="F292" s="26" t="s">
        <v>65</v>
      </c>
      <c r="G292" s="27">
        <v>46085</v>
      </c>
      <c r="H292" s="27"/>
      <c r="I292" s="26"/>
      <c r="J292" s="26">
        <v>24</v>
      </c>
      <c r="K292" s="28">
        <v>359000</v>
      </c>
      <c r="L292" s="26">
        <v>4</v>
      </c>
      <c r="M292" s="14" t="str">
        <f t="shared" si="16"/>
        <v>Active</v>
      </c>
      <c r="N292" s="14" t="str">
        <f t="shared" si="17"/>
        <v/>
      </c>
      <c r="O292" s="29">
        <f>(IF(H292="",Assumptions!$B$3,H292)-G292)/365.25</f>
        <v>0.57494866529774125</v>
      </c>
      <c r="P292" s="14" t="str">
        <f t="shared" si="18"/>
        <v>Under 25</v>
      </c>
      <c r="Q292" s="14" t="str">
        <f t="shared" si="19"/>
        <v>Under 1 yr</v>
      </c>
      <c r="R292" s="30">
        <f>K292/INDEX(Assumptions!$B$9:$B$13,MATCH(E292,Assumptions!$A$9:$A$13,0))</f>
        <v>1.0257142857142858</v>
      </c>
    </row>
    <row r="293" spans="1:18" x14ac:dyDescent="0.35">
      <c r="A293" s="26" t="s">
        <v>631</v>
      </c>
      <c r="B293" s="26" t="s">
        <v>632</v>
      </c>
      <c r="C293" s="26" t="s">
        <v>21</v>
      </c>
      <c r="D293" s="26" t="s">
        <v>29</v>
      </c>
      <c r="E293" s="26" t="s">
        <v>58</v>
      </c>
      <c r="F293" s="26" t="s">
        <v>66</v>
      </c>
      <c r="G293" s="27">
        <v>46086</v>
      </c>
      <c r="H293" s="27">
        <v>46154</v>
      </c>
      <c r="I293" s="26" t="s">
        <v>191</v>
      </c>
      <c r="J293" s="26">
        <v>22</v>
      </c>
      <c r="K293" s="28">
        <v>392000</v>
      </c>
      <c r="L293" s="26">
        <v>1</v>
      </c>
      <c r="M293" s="14" t="str">
        <f t="shared" si="16"/>
        <v>Exited</v>
      </c>
      <c r="N293" s="14" t="str">
        <f t="shared" si="17"/>
        <v>Involuntary</v>
      </c>
      <c r="O293" s="29">
        <f>(IF(H293="",Assumptions!$B$3,H293)-G293)/365.25</f>
        <v>0.18617385352498289</v>
      </c>
      <c r="P293" s="14" t="str">
        <f t="shared" si="18"/>
        <v>Under 25</v>
      </c>
      <c r="Q293" s="14" t="str">
        <f t="shared" si="19"/>
        <v>Under 1 yr</v>
      </c>
      <c r="R293" s="30">
        <f>K293/INDEX(Assumptions!$B$9:$B$13,MATCH(E293,Assumptions!$A$9:$A$13,0))</f>
        <v>1.1200000000000001</v>
      </c>
    </row>
    <row r="294" spans="1:18" x14ac:dyDescent="0.35">
      <c r="A294" s="26" t="s">
        <v>633</v>
      </c>
      <c r="B294" s="26" t="s">
        <v>634</v>
      </c>
      <c r="C294" s="26" t="s">
        <v>20</v>
      </c>
      <c r="D294" s="26" t="s">
        <v>35</v>
      </c>
      <c r="E294" s="26" t="s">
        <v>60</v>
      </c>
      <c r="F294" s="26" t="s">
        <v>66</v>
      </c>
      <c r="G294" s="27">
        <v>46088</v>
      </c>
      <c r="H294" s="27"/>
      <c r="I294" s="26"/>
      <c r="J294" s="26">
        <v>29</v>
      </c>
      <c r="K294" s="28">
        <v>1041000</v>
      </c>
      <c r="L294" s="26">
        <v>3</v>
      </c>
      <c r="M294" s="14" t="str">
        <f t="shared" si="16"/>
        <v>Active</v>
      </c>
      <c r="N294" s="14" t="str">
        <f t="shared" si="17"/>
        <v/>
      </c>
      <c r="O294" s="29">
        <f>(IF(H294="",Assumptions!$B$3,H294)-G294)/365.25</f>
        <v>0.56673511293634493</v>
      </c>
      <c r="P294" s="14" t="str">
        <f t="shared" si="18"/>
        <v>25 to 34</v>
      </c>
      <c r="Q294" s="14" t="str">
        <f t="shared" si="19"/>
        <v>Under 1 yr</v>
      </c>
      <c r="R294" s="30">
        <f>K294/INDEX(Assumptions!$B$9:$B$13,MATCH(E294,Assumptions!$A$9:$A$13,0))</f>
        <v>1.0957894736842104</v>
      </c>
    </row>
    <row r="295" spans="1:18" x14ac:dyDescent="0.35">
      <c r="A295" s="26" t="s">
        <v>635</v>
      </c>
      <c r="B295" s="26" t="s">
        <v>636</v>
      </c>
      <c r="C295" s="26" t="s">
        <v>20</v>
      </c>
      <c r="D295" s="26" t="s">
        <v>34</v>
      </c>
      <c r="E295" s="26" t="s">
        <v>61</v>
      </c>
      <c r="F295" s="26" t="s">
        <v>66</v>
      </c>
      <c r="G295" s="27">
        <v>46089</v>
      </c>
      <c r="H295" s="27"/>
      <c r="I295" s="26"/>
      <c r="J295" s="26">
        <v>38</v>
      </c>
      <c r="K295" s="28">
        <v>1687000</v>
      </c>
      <c r="L295" s="26">
        <v>1</v>
      </c>
      <c r="M295" s="14" t="str">
        <f t="shared" si="16"/>
        <v>Active</v>
      </c>
      <c r="N295" s="14" t="str">
        <f t="shared" si="17"/>
        <v/>
      </c>
      <c r="O295" s="29">
        <f>(IF(H295="",Assumptions!$B$3,H295)-G295)/365.25</f>
        <v>0.56399726214921286</v>
      </c>
      <c r="P295" s="14" t="str">
        <f t="shared" si="18"/>
        <v>35 to 44</v>
      </c>
      <c r="Q295" s="14" t="str">
        <f t="shared" si="19"/>
        <v>Under 1 yr</v>
      </c>
      <c r="R295" s="30">
        <f>K295/INDEX(Assumptions!$B$9:$B$13,MATCH(E295,Assumptions!$A$9:$A$13,0))</f>
        <v>1.0224242424242425</v>
      </c>
    </row>
    <row r="296" spans="1:18" x14ac:dyDescent="0.35">
      <c r="A296" s="26" t="s">
        <v>637</v>
      </c>
      <c r="B296" s="26" t="s">
        <v>638</v>
      </c>
      <c r="C296" s="26" t="s">
        <v>20</v>
      </c>
      <c r="D296" s="26" t="s">
        <v>29</v>
      </c>
      <c r="E296" s="26" t="s">
        <v>58</v>
      </c>
      <c r="F296" s="26" t="s">
        <v>66</v>
      </c>
      <c r="G296" s="27">
        <v>46101</v>
      </c>
      <c r="H296" s="27">
        <v>46221</v>
      </c>
      <c r="I296" s="26" t="s">
        <v>207</v>
      </c>
      <c r="J296" s="26">
        <v>24</v>
      </c>
      <c r="K296" s="28">
        <v>283000</v>
      </c>
      <c r="L296" s="26">
        <v>4</v>
      </c>
      <c r="M296" s="14" t="str">
        <f t="shared" si="16"/>
        <v>Exited</v>
      </c>
      <c r="N296" s="14" t="str">
        <f t="shared" si="17"/>
        <v>Voluntary</v>
      </c>
      <c r="O296" s="29">
        <f>(IF(H296="",Assumptions!$B$3,H296)-G296)/365.25</f>
        <v>0.32854209445585214</v>
      </c>
      <c r="P296" s="14" t="str">
        <f t="shared" si="18"/>
        <v>Under 25</v>
      </c>
      <c r="Q296" s="14" t="str">
        <f t="shared" si="19"/>
        <v>Under 1 yr</v>
      </c>
      <c r="R296" s="30">
        <f>K296/INDEX(Assumptions!$B$9:$B$13,MATCH(E296,Assumptions!$A$9:$A$13,0))</f>
        <v>0.80857142857142861</v>
      </c>
    </row>
    <row r="297" spans="1:18" x14ac:dyDescent="0.35">
      <c r="A297" s="26" t="s">
        <v>639</v>
      </c>
      <c r="B297" s="26" t="s">
        <v>640</v>
      </c>
      <c r="C297" s="26" t="s">
        <v>20</v>
      </c>
      <c r="D297" s="26" t="s">
        <v>29</v>
      </c>
      <c r="E297" s="26" t="s">
        <v>59</v>
      </c>
      <c r="F297" s="26" t="s">
        <v>66</v>
      </c>
      <c r="G297" s="27">
        <v>46112</v>
      </c>
      <c r="H297" s="27"/>
      <c r="I297" s="26"/>
      <c r="J297" s="26">
        <v>29</v>
      </c>
      <c r="K297" s="28">
        <v>538000</v>
      </c>
      <c r="L297" s="26">
        <v>2</v>
      </c>
      <c r="M297" s="14" t="str">
        <f t="shared" si="16"/>
        <v>Active</v>
      </c>
      <c r="N297" s="14" t="str">
        <f t="shared" si="17"/>
        <v/>
      </c>
      <c r="O297" s="29">
        <f>(IF(H297="",Assumptions!$B$3,H297)-G297)/365.25</f>
        <v>0.50102669404517453</v>
      </c>
      <c r="P297" s="14" t="str">
        <f t="shared" si="18"/>
        <v>25 to 34</v>
      </c>
      <c r="Q297" s="14" t="str">
        <f t="shared" si="19"/>
        <v>Under 1 yr</v>
      </c>
      <c r="R297" s="30">
        <f>K297/INDEX(Assumptions!$B$9:$B$13,MATCH(E297,Assumptions!$A$9:$A$13,0))</f>
        <v>0.97818181818181815</v>
      </c>
    </row>
    <row r="298" spans="1:18" x14ac:dyDescent="0.35">
      <c r="A298" s="26" t="s">
        <v>641</v>
      </c>
      <c r="B298" s="26" t="s">
        <v>642</v>
      </c>
      <c r="C298" s="26" t="s">
        <v>21</v>
      </c>
      <c r="D298" s="26" t="s">
        <v>30</v>
      </c>
      <c r="E298" s="26" t="s">
        <v>58</v>
      </c>
      <c r="F298" s="26" t="s">
        <v>65</v>
      </c>
      <c r="G298" s="27">
        <v>46115</v>
      </c>
      <c r="H298" s="27">
        <v>46282</v>
      </c>
      <c r="I298" s="26" t="s">
        <v>214</v>
      </c>
      <c r="J298" s="26">
        <v>23</v>
      </c>
      <c r="K298" s="28">
        <v>331000</v>
      </c>
      <c r="L298" s="26">
        <v>4</v>
      </c>
      <c r="M298" s="14" t="str">
        <f t="shared" si="16"/>
        <v>Exited</v>
      </c>
      <c r="N298" s="14" t="str">
        <f t="shared" si="17"/>
        <v>Voluntary</v>
      </c>
      <c r="O298" s="29">
        <f>(IF(H298="",Assumptions!$B$3,H298)-G298)/365.25</f>
        <v>0.45722108145106094</v>
      </c>
      <c r="P298" s="14" t="str">
        <f t="shared" si="18"/>
        <v>Under 25</v>
      </c>
      <c r="Q298" s="14" t="str">
        <f t="shared" si="19"/>
        <v>Under 1 yr</v>
      </c>
      <c r="R298" s="30">
        <f>K298/INDEX(Assumptions!$B$9:$B$13,MATCH(E298,Assumptions!$A$9:$A$13,0))</f>
        <v>0.94571428571428573</v>
      </c>
    </row>
    <row r="299" spans="1:18" x14ac:dyDescent="0.35">
      <c r="A299" s="26" t="s">
        <v>643</v>
      </c>
      <c r="B299" s="26" t="s">
        <v>644</v>
      </c>
      <c r="C299" s="26" t="s">
        <v>21</v>
      </c>
      <c r="D299" s="26" t="s">
        <v>34</v>
      </c>
      <c r="E299" s="26" t="s">
        <v>61</v>
      </c>
      <c r="F299" s="26" t="s">
        <v>67</v>
      </c>
      <c r="G299" s="27">
        <v>46116</v>
      </c>
      <c r="H299" s="27"/>
      <c r="I299" s="26"/>
      <c r="J299" s="26">
        <v>35</v>
      </c>
      <c r="K299" s="28">
        <v>1809000</v>
      </c>
      <c r="L299" s="26">
        <v>3</v>
      </c>
      <c r="M299" s="14" t="str">
        <f t="shared" si="16"/>
        <v>Active</v>
      </c>
      <c r="N299" s="14" t="str">
        <f t="shared" si="17"/>
        <v/>
      </c>
      <c r="O299" s="29">
        <f>(IF(H299="",Assumptions!$B$3,H299)-G299)/365.25</f>
        <v>0.49007529089664614</v>
      </c>
      <c r="P299" s="14" t="str">
        <f t="shared" si="18"/>
        <v>35 to 44</v>
      </c>
      <c r="Q299" s="14" t="str">
        <f t="shared" si="19"/>
        <v>Under 1 yr</v>
      </c>
      <c r="R299" s="30">
        <f>K299/INDEX(Assumptions!$B$9:$B$13,MATCH(E299,Assumptions!$A$9:$A$13,0))</f>
        <v>1.0963636363636364</v>
      </c>
    </row>
    <row r="300" spans="1:18" x14ac:dyDescent="0.35">
      <c r="A300" s="26" t="s">
        <v>645</v>
      </c>
      <c r="B300" s="26" t="s">
        <v>646</v>
      </c>
      <c r="C300" s="26" t="s">
        <v>20</v>
      </c>
      <c r="D300" s="26" t="s">
        <v>29</v>
      </c>
      <c r="E300" s="26" t="s">
        <v>60</v>
      </c>
      <c r="F300" s="26" t="s">
        <v>65</v>
      </c>
      <c r="G300" s="27">
        <v>46118</v>
      </c>
      <c r="H300" s="27"/>
      <c r="I300" s="26"/>
      <c r="J300" s="26">
        <v>36</v>
      </c>
      <c r="K300" s="28">
        <v>1050000</v>
      </c>
      <c r="L300" s="26">
        <v>2</v>
      </c>
      <c r="M300" s="14" t="str">
        <f t="shared" si="16"/>
        <v>Active</v>
      </c>
      <c r="N300" s="14" t="str">
        <f t="shared" si="17"/>
        <v/>
      </c>
      <c r="O300" s="29">
        <f>(IF(H300="",Assumptions!$B$3,H300)-G300)/365.25</f>
        <v>0.48459958932238195</v>
      </c>
      <c r="P300" s="14" t="str">
        <f t="shared" si="18"/>
        <v>35 to 44</v>
      </c>
      <c r="Q300" s="14" t="str">
        <f t="shared" si="19"/>
        <v>Under 1 yr</v>
      </c>
      <c r="R300" s="30">
        <f>K300/INDEX(Assumptions!$B$9:$B$13,MATCH(E300,Assumptions!$A$9:$A$13,0))</f>
        <v>1.1052631578947369</v>
      </c>
    </row>
    <row r="301" spans="1:18" x14ac:dyDescent="0.35">
      <c r="A301" s="26" t="s">
        <v>647</v>
      </c>
      <c r="B301" s="26" t="s">
        <v>648</v>
      </c>
      <c r="C301" s="26" t="s">
        <v>21</v>
      </c>
      <c r="D301" s="26" t="s">
        <v>35</v>
      </c>
      <c r="E301" s="26" t="s">
        <v>60</v>
      </c>
      <c r="F301" s="26" t="s">
        <v>67</v>
      </c>
      <c r="G301" s="27">
        <v>46130</v>
      </c>
      <c r="H301" s="27"/>
      <c r="I301" s="26"/>
      <c r="J301" s="26">
        <v>36</v>
      </c>
      <c r="K301" s="28">
        <v>951000</v>
      </c>
      <c r="L301" s="26">
        <v>5</v>
      </c>
      <c r="M301" s="14" t="str">
        <f t="shared" si="16"/>
        <v>Active</v>
      </c>
      <c r="N301" s="14" t="str">
        <f t="shared" si="17"/>
        <v/>
      </c>
      <c r="O301" s="29">
        <f>(IF(H301="",Assumptions!$B$3,H301)-G301)/365.25</f>
        <v>0.45174537987679669</v>
      </c>
      <c r="P301" s="14" t="str">
        <f t="shared" si="18"/>
        <v>35 to 44</v>
      </c>
      <c r="Q301" s="14" t="str">
        <f t="shared" si="19"/>
        <v>Under 1 yr</v>
      </c>
      <c r="R301" s="30">
        <f>K301/INDEX(Assumptions!$B$9:$B$13,MATCH(E301,Assumptions!$A$9:$A$13,0))</f>
        <v>1.0010526315789474</v>
      </c>
    </row>
    <row r="302" spans="1:18" x14ac:dyDescent="0.35">
      <c r="A302" s="26" t="s">
        <v>649</v>
      </c>
      <c r="B302" s="26" t="s">
        <v>650</v>
      </c>
      <c r="C302" s="26" t="s">
        <v>21</v>
      </c>
      <c r="D302" s="26" t="s">
        <v>30</v>
      </c>
      <c r="E302" s="26" t="s">
        <v>61</v>
      </c>
      <c r="F302" s="26" t="s">
        <v>65</v>
      </c>
      <c r="G302" s="27">
        <v>46138</v>
      </c>
      <c r="H302" s="27">
        <v>46258</v>
      </c>
      <c r="I302" s="26" t="s">
        <v>651</v>
      </c>
      <c r="J302" s="26">
        <v>38</v>
      </c>
      <c r="K302" s="28">
        <v>1215000</v>
      </c>
      <c r="L302" s="26">
        <v>4</v>
      </c>
      <c r="M302" s="14" t="str">
        <f t="shared" si="16"/>
        <v>Exited</v>
      </c>
      <c r="N302" s="14" t="str">
        <f t="shared" si="17"/>
        <v>Voluntary</v>
      </c>
      <c r="O302" s="29">
        <f>(IF(H302="",Assumptions!$B$3,H302)-G302)/365.25</f>
        <v>0.32854209445585214</v>
      </c>
      <c r="P302" s="14" t="str">
        <f t="shared" si="18"/>
        <v>35 to 44</v>
      </c>
      <c r="Q302" s="14" t="str">
        <f t="shared" si="19"/>
        <v>Under 1 yr</v>
      </c>
      <c r="R302" s="30">
        <f>K302/INDEX(Assumptions!$B$9:$B$13,MATCH(E302,Assumptions!$A$9:$A$13,0))</f>
        <v>0.73636363636363633</v>
      </c>
    </row>
    <row r="303" spans="1:18" x14ac:dyDescent="0.35">
      <c r="A303" s="26" t="s">
        <v>652</v>
      </c>
      <c r="B303" s="26" t="s">
        <v>357</v>
      </c>
      <c r="C303" s="26" t="s">
        <v>21</v>
      </c>
      <c r="D303" s="26" t="s">
        <v>30</v>
      </c>
      <c r="E303" s="26" t="s">
        <v>60</v>
      </c>
      <c r="F303" s="26" t="s">
        <v>65</v>
      </c>
      <c r="G303" s="27">
        <v>46145</v>
      </c>
      <c r="H303" s="27"/>
      <c r="I303" s="26"/>
      <c r="J303" s="26">
        <v>31</v>
      </c>
      <c r="K303" s="28">
        <v>761000</v>
      </c>
      <c r="L303" s="26">
        <v>4</v>
      </c>
      <c r="M303" s="14" t="str">
        <f t="shared" si="16"/>
        <v>Active</v>
      </c>
      <c r="N303" s="14" t="str">
        <f t="shared" si="17"/>
        <v/>
      </c>
      <c r="O303" s="29">
        <f>(IF(H303="",Assumptions!$B$3,H303)-G303)/365.25</f>
        <v>0.41067761806981518</v>
      </c>
      <c r="P303" s="14" t="str">
        <f t="shared" si="18"/>
        <v>25 to 34</v>
      </c>
      <c r="Q303" s="14" t="str">
        <f t="shared" si="19"/>
        <v>Under 1 yr</v>
      </c>
      <c r="R303" s="30">
        <f>K303/INDEX(Assumptions!$B$9:$B$13,MATCH(E303,Assumptions!$A$9:$A$13,0))</f>
        <v>0.80105263157894735</v>
      </c>
    </row>
    <row r="304" spans="1:18" x14ac:dyDescent="0.35">
      <c r="A304" s="26" t="s">
        <v>653</v>
      </c>
      <c r="B304" s="26" t="s">
        <v>654</v>
      </c>
      <c r="C304" s="26" t="s">
        <v>20</v>
      </c>
      <c r="D304" s="26" t="s">
        <v>33</v>
      </c>
      <c r="E304" s="26" t="s">
        <v>59</v>
      </c>
      <c r="F304" s="26" t="s">
        <v>69</v>
      </c>
      <c r="G304" s="27">
        <v>46153</v>
      </c>
      <c r="H304" s="27"/>
      <c r="I304" s="26"/>
      <c r="J304" s="26">
        <v>24</v>
      </c>
      <c r="K304" s="28">
        <v>503000</v>
      </c>
      <c r="L304" s="26">
        <v>4</v>
      </c>
      <c r="M304" s="14" t="str">
        <f t="shared" si="16"/>
        <v>Active</v>
      </c>
      <c r="N304" s="14" t="str">
        <f t="shared" si="17"/>
        <v/>
      </c>
      <c r="O304" s="29">
        <f>(IF(H304="",Assumptions!$B$3,H304)-G304)/365.25</f>
        <v>0.38877481177275841</v>
      </c>
      <c r="P304" s="14" t="str">
        <f t="shared" si="18"/>
        <v>Under 25</v>
      </c>
      <c r="Q304" s="14" t="str">
        <f t="shared" si="19"/>
        <v>Under 1 yr</v>
      </c>
      <c r="R304" s="30">
        <f>K304/INDEX(Assumptions!$B$9:$B$13,MATCH(E304,Assumptions!$A$9:$A$13,0))</f>
        <v>0.91454545454545455</v>
      </c>
    </row>
    <row r="305" spans="1:18" x14ac:dyDescent="0.35">
      <c r="A305" s="26" t="s">
        <v>655</v>
      </c>
      <c r="B305" s="26" t="s">
        <v>656</v>
      </c>
      <c r="C305" s="26" t="s">
        <v>20</v>
      </c>
      <c r="D305" s="26" t="s">
        <v>33</v>
      </c>
      <c r="E305" s="26" t="s">
        <v>59</v>
      </c>
      <c r="F305" s="26" t="s">
        <v>68</v>
      </c>
      <c r="G305" s="27">
        <v>46155</v>
      </c>
      <c r="H305" s="27"/>
      <c r="I305" s="26"/>
      <c r="J305" s="26">
        <v>26</v>
      </c>
      <c r="K305" s="28">
        <v>509000</v>
      </c>
      <c r="L305" s="26">
        <v>4</v>
      </c>
      <c r="M305" s="14" t="str">
        <f t="shared" si="16"/>
        <v>Active</v>
      </c>
      <c r="N305" s="14" t="str">
        <f t="shared" si="17"/>
        <v/>
      </c>
      <c r="O305" s="29">
        <f>(IF(H305="",Assumptions!$B$3,H305)-G305)/365.25</f>
        <v>0.38329911019849416</v>
      </c>
      <c r="P305" s="14" t="str">
        <f t="shared" si="18"/>
        <v>25 to 34</v>
      </c>
      <c r="Q305" s="14" t="str">
        <f t="shared" si="19"/>
        <v>Under 1 yr</v>
      </c>
      <c r="R305" s="30">
        <f>K305/INDEX(Assumptions!$B$9:$B$13,MATCH(E305,Assumptions!$A$9:$A$13,0))</f>
        <v>0.92545454545454542</v>
      </c>
    </row>
    <row r="306" spans="1:18" x14ac:dyDescent="0.35">
      <c r="A306" s="26" t="s">
        <v>657</v>
      </c>
      <c r="B306" s="26" t="s">
        <v>658</v>
      </c>
      <c r="C306" s="26" t="s">
        <v>20</v>
      </c>
      <c r="D306" s="26" t="s">
        <v>33</v>
      </c>
      <c r="E306" s="26" t="s">
        <v>58</v>
      </c>
      <c r="F306" s="26" t="s">
        <v>66</v>
      </c>
      <c r="G306" s="27">
        <v>46171</v>
      </c>
      <c r="H306" s="27"/>
      <c r="I306" s="26"/>
      <c r="J306" s="26">
        <v>22</v>
      </c>
      <c r="K306" s="28">
        <v>376000</v>
      </c>
      <c r="L306" s="26">
        <v>3</v>
      </c>
      <c r="M306" s="14" t="str">
        <f t="shared" si="16"/>
        <v>Active</v>
      </c>
      <c r="N306" s="14" t="str">
        <f t="shared" si="17"/>
        <v/>
      </c>
      <c r="O306" s="29">
        <f>(IF(H306="",Assumptions!$B$3,H306)-G306)/365.25</f>
        <v>0.33949349760438058</v>
      </c>
      <c r="P306" s="14" t="str">
        <f t="shared" si="18"/>
        <v>Under 25</v>
      </c>
      <c r="Q306" s="14" t="str">
        <f t="shared" si="19"/>
        <v>Under 1 yr</v>
      </c>
      <c r="R306" s="30">
        <f>K306/INDEX(Assumptions!$B$9:$B$13,MATCH(E306,Assumptions!$A$9:$A$13,0))</f>
        <v>1.0742857142857143</v>
      </c>
    </row>
    <row r="307" spans="1:18" x14ac:dyDescent="0.35">
      <c r="A307" s="26" t="s">
        <v>659</v>
      </c>
      <c r="B307" s="26" t="s">
        <v>660</v>
      </c>
      <c r="C307" s="26" t="s">
        <v>21</v>
      </c>
      <c r="D307" s="26" t="s">
        <v>30</v>
      </c>
      <c r="E307" s="26" t="s">
        <v>59</v>
      </c>
      <c r="F307" s="26" t="s">
        <v>66</v>
      </c>
      <c r="G307" s="27">
        <v>46175</v>
      </c>
      <c r="H307" s="27"/>
      <c r="I307" s="26"/>
      <c r="J307" s="26">
        <v>28</v>
      </c>
      <c r="K307" s="28">
        <v>425000</v>
      </c>
      <c r="L307" s="26">
        <v>2</v>
      </c>
      <c r="M307" s="14" t="str">
        <f t="shared" si="16"/>
        <v>Active</v>
      </c>
      <c r="N307" s="14" t="str">
        <f t="shared" si="17"/>
        <v/>
      </c>
      <c r="O307" s="29">
        <f>(IF(H307="",Assumptions!$B$3,H307)-G307)/365.25</f>
        <v>0.32854209445585214</v>
      </c>
      <c r="P307" s="14" t="str">
        <f t="shared" si="18"/>
        <v>25 to 34</v>
      </c>
      <c r="Q307" s="14" t="str">
        <f t="shared" si="19"/>
        <v>Under 1 yr</v>
      </c>
      <c r="R307" s="30">
        <f>K307/INDEX(Assumptions!$B$9:$B$13,MATCH(E307,Assumptions!$A$9:$A$13,0))</f>
        <v>0.77272727272727271</v>
      </c>
    </row>
    <row r="308" spans="1:18" x14ac:dyDescent="0.35">
      <c r="A308" s="26" t="s">
        <v>661</v>
      </c>
      <c r="B308" s="26" t="s">
        <v>662</v>
      </c>
      <c r="C308" s="26" t="s">
        <v>20</v>
      </c>
      <c r="D308" s="26" t="s">
        <v>34</v>
      </c>
      <c r="E308" s="26" t="s">
        <v>60</v>
      </c>
      <c r="F308" s="26" t="s">
        <v>68</v>
      </c>
      <c r="G308" s="27">
        <v>46176</v>
      </c>
      <c r="H308" s="27"/>
      <c r="I308" s="26"/>
      <c r="J308" s="26">
        <v>34</v>
      </c>
      <c r="K308" s="28">
        <v>1031000</v>
      </c>
      <c r="L308" s="26">
        <v>3</v>
      </c>
      <c r="M308" s="14" t="str">
        <f t="shared" si="16"/>
        <v>Active</v>
      </c>
      <c r="N308" s="14" t="str">
        <f t="shared" si="17"/>
        <v/>
      </c>
      <c r="O308" s="29">
        <f>(IF(H308="",Assumptions!$B$3,H308)-G308)/365.25</f>
        <v>0.32580424366872007</v>
      </c>
      <c r="P308" s="14" t="str">
        <f t="shared" si="18"/>
        <v>25 to 34</v>
      </c>
      <c r="Q308" s="14" t="str">
        <f t="shared" si="19"/>
        <v>Under 1 yr</v>
      </c>
      <c r="R308" s="30">
        <f>K308/INDEX(Assumptions!$B$9:$B$13,MATCH(E308,Assumptions!$A$9:$A$13,0))</f>
        <v>1.0852631578947369</v>
      </c>
    </row>
    <row r="309" spans="1:18" x14ac:dyDescent="0.35">
      <c r="A309" s="26" t="s">
        <v>663</v>
      </c>
      <c r="B309" s="26" t="s">
        <v>307</v>
      </c>
      <c r="C309" s="26" t="s">
        <v>21</v>
      </c>
      <c r="D309" s="26" t="s">
        <v>32</v>
      </c>
      <c r="E309" s="26" t="s">
        <v>59</v>
      </c>
      <c r="F309" s="26" t="s">
        <v>67</v>
      </c>
      <c r="G309" s="27">
        <v>46187</v>
      </c>
      <c r="H309" s="27"/>
      <c r="I309" s="26"/>
      <c r="J309" s="26">
        <v>27</v>
      </c>
      <c r="K309" s="28">
        <v>525000</v>
      </c>
      <c r="L309" s="26">
        <v>3</v>
      </c>
      <c r="M309" s="14" t="str">
        <f t="shared" si="16"/>
        <v>Active</v>
      </c>
      <c r="N309" s="14" t="str">
        <f t="shared" si="17"/>
        <v/>
      </c>
      <c r="O309" s="29">
        <f>(IF(H309="",Assumptions!$B$3,H309)-G309)/365.25</f>
        <v>0.29568788501026694</v>
      </c>
      <c r="P309" s="14" t="str">
        <f t="shared" si="18"/>
        <v>25 to 34</v>
      </c>
      <c r="Q309" s="14" t="str">
        <f t="shared" si="19"/>
        <v>Under 1 yr</v>
      </c>
      <c r="R309" s="30">
        <f>K309/INDEX(Assumptions!$B$9:$B$13,MATCH(E309,Assumptions!$A$9:$A$13,0))</f>
        <v>0.95454545454545459</v>
      </c>
    </row>
    <row r="310" spans="1:18" x14ac:dyDescent="0.35">
      <c r="A310" s="26" t="s">
        <v>664</v>
      </c>
      <c r="B310" s="26" t="s">
        <v>199</v>
      </c>
      <c r="C310" s="26" t="s">
        <v>21</v>
      </c>
      <c r="D310" s="26" t="s">
        <v>32</v>
      </c>
      <c r="E310" s="26" t="s">
        <v>59</v>
      </c>
      <c r="F310" s="26" t="s">
        <v>67</v>
      </c>
      <c r="G310" s="27">
        <v>46197</v>
      </c>
      <c r="H310" s="27"/>
      <c r="I310" s="26"/>
      <c r="J310" s="26">
        <v>24</v>
      </c>
      <c r="K310" s="28">
        <v>538000</v>
      </c>
      <c r="L310" s="26">
        <v>3</v>
      </c>
      <c r="M310" s="14" t="str">
        <f t="shared" si="16"/>
        <v>Active</v>
      </c>
      <c r="N310" s="14" t="str">
        <f t="shared" si="17"/>
        <v/>
      </c>
      <c r="O310" s="29">
        <f>(IF(H310="",Assumptions!$B$3,H310)-G310)/365.25</f>
        <v>0.26830937713894593</v>
      </c>
      <c r="P310" s="14" t="str">
        <f t="shared" si="18"/>
        <v>Under 25</v>
      </c>
      <c r="Q310" s="14" t="str">
        <f t="shared" si="19"/>
        <v>Under 1 yr</v>
      </c>
      <c r="R310" s="30">
        <f>K310/INDEX(Assumptions!$B$9:$B$13,MATCH(E310,Assumptions!$A$9:$A$13,0))</f>
        <v>0.97818181818181815</v>
      </c>
    </row>
    <row r="311" spans="1:18" x14ac:dyDescent="0.35">
      <c r="A311" s="26" t="s">
        <v>665</v>
      </c>
      <c r="B311" s="26" t="s">
        <v>341</v>
      </c>
      <c r="C311" s="26" t="s">
        <v>21</v>
      </c>
      <c r="D311" s="26" t="s">
        <v>31</v>
      </c>
      <c r="E311" s="26" t="s">
        <v>61</v>
      </c>
      <c r="F311" s="26" t="s">
        <v>66</v>
      </c>
      <c r="G311" s="27">
        <v>46202</v>
      </c>
      <c r="H311" s="27"/>
      <c r="I311" s="26"/>
      <c r="J311" s="26">
        <v>33</v>
      </c>
      <c r="K311" s="28">
        <v>2224000</v>
      </c>
      <c r="L311" s="26">
        <v>3</v>
      </c>
      <c r="M311" s="14" t="str">
        <f t="shared" si="16"/>
        <v>Active</v>
      </c>
      <c r="N311" s="14" t="str">
        <f t="shared" si="17"/>
        <v/>
      </c>
      <c r="O311" s="29">
        <f>(IF(H311="",Assumptions!$B$3,H311)-G311)/365.25</f>
        <v>0.25462012320328542</v>
      </c>
      <c r="P311" s="14" t="str">
        <f t="shared" si="18"/>
        <v>25 to 34</v>
      </c>
      <c r="Q311" s="14" t="str">
        <f t="shared" si="19"/>
        <v>Under 1 yr</v>
      </c>
      <c r="R311" s="30">
        <f>K311/INDEX(Assumptions!$B$9:$B$13,MATCH(E311,Assumptions!$A$9:$A$13,0))</f>
        <v>1.3478787878787879</v>
      </c>
    </row>
    <row r="312" spans="1:18" x14ac:dyDescent="0.35">
      <c r="A312" s="26" t="s">
        <v>666</v>
      </c>
      <c r="B312" s="26" t="s">
        <v>667</v>
      </c>
      <c r="C312" s="26" t="s">
        <v>21</v>
      </c>
      <c r="D312" s="26" t="s">
        <v>35</v>
      </c>
      <c r="E312" s="26" t="s">
        <v>59</v>
      </c>
      <c r="F312" s="26" t="s">
        <v>65</v>
      </c>
      <c r="G312" s="27">
        <v>46205</v>
      </c>
      <c r="H312" s="27"/>
      <c r="I312" s="26"/>
      <c r="J312" s="26">
        <v>27</v>
      </c>
      <c r="K312" s="28">
        <v>636000</v>
      </c>
      <c r="L312" s="26">
        <v>3</v>
      </c>
      <c r="M312" s="14" t="str">
        <f t="shared" si="16"/>
        <v>Active</v>
      </c>
      <c r="N312" s="14" t="str">
        <f t="shared" si="17"/>
        <v/>
      </c>
      <c r="O312" s="29">
        <f>(IF(H312="",Assumptions!$B$3,H312)-G312)/365.25</f>
        <v>0.24640657084188911</v>
      </c>
      <c r="P312" s="14" t="str">
        <f t="shared" si="18"/>
        <v>25 to 34</v>
      </c>
      <c r="Q312" s="14" t="str">
        <f t="shared" si="19"/>
        <v>Under 1 yr</v>
      </c>
      <c r="R312" s="30">
        <f>K312/INDEX(Assumptions!$B$9:$B$13,MATCH(E312,Assumptions!$A$9:$A$13,0))</f>
        <v>1.1563636363636363</v>
      </c>
    </row>
    <row r="313" spans="1:18" x14ac:dyDescent="0.35">
      <c r="A313" s="26" t="s">
        <v>668</v>
      </c>
      <c r="B313" s="26" t="s">
        <v>669</v>
      </c>
      <c r="C313" s="26" t="s">
        <v>21</v>
      </c>
      <c r="D313" s="26" t="s">
        <v>32</v>
      </c>
      <c r="E313" s="26" t="s">
        <v>61</v>
      </c>
      <c r="F313" s="26" t="s">
        <v>68</v>
      </c>
      <c r="G313" s="27">
        <v>46206</v>
      </c>
      <c r="H313" s="27"/>
      <c r="I313" s="26"/>
      <c r="J313" s="26">
        <v>33</v>
      </c>
      <c r="K313" s="28">
        <v>1363000</v>
      </c>
      <c r="L313" s="26">
        <v>3</v>
      </c>
      <c r="M313" s="14" t="str">
        <f t="shared" si="16"/>
        <v>Active</v>
      </c>
      <c r="N313" s="14" t="str">
        <f t="shared" si="17"/>
        <v/>
      </c>
      <c r="O313" s="29">
        <f>(IF(H313="",Assumptions!$B$3,H313)-G313)/365.25</f>
        <v>0.24366872005475701</v>
      </c>
      <c r="P313" s="14" t="str">
        <f t="shared" si="18"/>
        <v>25 to 34</v>
      </c>
      <c r="Q313" s="14" t="str">
        <f t="shared" si="19"/>
        <v>Under 1 yr</v>
      </c>
      <c r="R313" s="30">
        <f>K313/INDEX(Assumptions!$B$9:$B$13,MATCH(E313,Assumptions!$A$9:$A$13,0))</f>
        <v>0.82606060606060605</v>
      </c>
    </row>
    <row r="314" spans="1:18" x14ac:dyDescent="0.35">
      <c r="A314" s="26" t="s">
        <v>670</v>
      </c>
      <c r="B314" s="26" t="s">
        <v>671</v>
      </c>
      <c r="C314" s="26" t="s">
        <v>21</v>
      </c>
      <c r="D314" s="26" t="s">
        <v>35</v>
      </c>
      <c r="E314" s="26" t="s">
        <v>58</v>
      </c>
      <c r="F314" s="26" t="s">
        <v>68</v>
      </c>
      <c r="G314" s="27">
        <v>46206</v>
      </c>
      <c r="H314" s="27"/>
      <c r="I314" s="26"/>
      <c r="J314" s="26">
        <v>22</v>
      </c>
      <c r="K314" s="28">
        <v>377000</v>
      </c>
      <c r="L314" s="26">
        <v>4</v>
      </c>
      <c r="M314" s="14" t="str">
        <f t="shared" si="16"/>
        <v>Active</v>
      </c>
      <c r="N314" s="14" t="str">
        <f t="shared" si="17"/>
        <v/>
      </c>
      <c r="O314" s="29">
        <f>(IF(H314="",Assumptions!$B$3,H314)-G314)/365.25</f>
        <v>0.24366872005475701</v>
      </c>
      <c r="P314" s="14" t="str">
        <f t="shared" si="18"/>
        <v>Under 25</v>
      </c>
      <c r="Q314" s="14" t="str">
        <f t="shared" si="19"/>
        <v>Under 1 yr</v>
      </c>
      <c r="R314" s="30">
        <f>K314/INDEX(Assumptions!$B$9:$B$13,MATCH(E314,Assumptions!$A$9:$A$13,0))</f>
        <v>1.0771428571428572</v>
      </c>
    </row>
    <row r="315" spans="1:18" x14ac:dyDescent="0.35">
      <c r="A315" s="26" t="s">
        <v>672</v>
      </c>
      <c r="B315" s="26" t="s">
        <v>673</v>
      </c>
      <c r="C315" s="26" t="s">
        <v>21</v>
      </c>
      <c r="D315" s="26" t="s">
        <v>31</v>
      </c>
      <c r="E315" s="26" t="s">
        <v>61</v>
      </c>
      <c r="F315" s="26" t="s">
        <v>66</v>
      </c>
      <c r="G315" s="27">
        <v>46207</v>
      </c>
      <c r="H315" s="27"/>
      <c r="I315" s="26"/>
      <c r="J315" s="26">
        <v>40</v>
      </c>
      <c r="K315" s="28">
        <v>2194000</v>
      </c>
      <c r="L315" s="26">
        <v>3</v>
      </c>
      <c r="M315" s="14" t="str">
        <f t="shared" si="16"/>
        <v>Active</v>
      </c>
      <c r="N315" s="14" t="str">
        <f t="shared" si="17"/>
        <v/>
      </c>
      <c r="O315" s="29">
        <f>(IF(H315="",Assumptions!$B$3,H315)-G315)/365.25</f>
        <v>0.24093086926762491</v>
      </c>
      <c r="P315" s="14" t="str">
        <f t="shared" si="18"/>
        <v>35 to 44</v>
      </c>
      <c r="Q315" s="14" t="str">
        <f t="shared" si="19"/>
        <v>Under 1 yr</v>
      </c>
      <c r="R315" s="30">
        <f>K315/INDEX(Assumptions!$B$9:$B$13,MATCH(E315,Assumptions!$A$9:$A$13,0))</f>
        <v>1.3296969696969696</v>
      </c>
    </row>
    <row r="316" spans="1:18" x14ac:dyDescent="0.35">
      <c r="A316" s="26" t="s">
        <v>674</v>
      </c>
      <c r="B316" s="26" t="s">
        <v>675</v>
      </c>
      <c r="C316" s="26" t="s">
        <v>21</v>
      </c>
      <c r="D316" s="26" t="s">
        <v>32</v>
      </c>
      <c r="E316" s="26" t="s">
        <v>58</v>
      </c>
      <c r="F316" s="26" t="s">
        <v>67</v>
      </c>
      <c r="G316" s="27">
        <v>46218</v>
      </c>
      <c r="H316" s="27"/>
      <c r="I316" s="26"/>
      <c r="J316" s="26">
        <v>23</v>
      </c>
      <c r="K316" s="28">
        <v>326000</v>
      </c>
      <c r="L316" s="26">
        <v>4</v>
      </c>
      <c r="M316" s="14" t="str">
        <f t="shared" si="16"/>
        <v>Active</v>
      </c>
      <c r="N316" s="14" t="str">
        <f t="shared" si="17"/>
        <v/>
      </c>
      <c r="O316" s="29">
        <f>(IF(H316="",Assumptions!$B$3,H316)-G316)/365.25</f>
        <v>0.21081451060917181</v>
      </c>
      <c r="P316" s="14" t="str">
        <f t="shared" si="18"/>
        <v>Under 25</v>
      </c>
      <c r="Q316" s="14" t="str">
        <f t="shared" si="19"/>
        <v>Under 1 yr</v>
      </c>
      <c r="R316" s="30">
        <f>K316/INDEX(Assumptions!$B$9:$B$13,MATCH(E316,Assumptions!$A$9:$A$13,0))</f>
        <v>0.93142857142857138</v>
      </c>
    </row>
    <row r="317" spans="1:18" x14ac:dyDescent="0.35">
      <c r="A317" s="26" t="s">
        <v>676</v>
      </c>
      <c r="B317" s="26" t="s">
        <v>677</v>
      </c>
      <c r="C317" s="26" t="s">
        <v>21</v>
      </c>
      <c r="D317" s="26" t="s">
        <v>35</v>
      </c>
      <c r="E317" s="26" t="s">
        <v>60</v>
      </c>
      <c r="F317" s="26" t="s">
        <v>65</v>
      </c>
      <c r="G317" s="27">
        <v>46225</v>
      </c>
      <c r="H317" s="27"/>
      <c r="I317" s="26"/>
      <c r="J317" s="26">
        <v>32</v>
      </c>
      <c r="K317" s="28">
        <v>991000</v>
      </c>
      <c r="L317" s="26">
        <v>5</v>
      </c>
      <c r="M317" s="14" t="str">
        <f t="shared" si="16"/>
        <v>Active</v>
      </c>
      <c r="N317" s="14" t="str">
        <f t="shared" si="17"/>
        <v/>
      </c>
      <c r="O317" s="29">
        <f>(IF(H317="",Assumptions!$B$3,H317)-G317)/365.25</f>
        <v>0.19164955509924708</v>
      </c>
      <c r="P317" s="14" t="str">
        <f t="shared" si="18"/>
        <v>25 to 34</v>
      </c>
      <c r="Q317" s="14" t="str">
        <f t="shared" si="19"/>
        <v>Under 1 yr</v>
      </c>
      <c r="R317" s="30">
        <f>K317/INDEX(Assumptions!$B$9:$B$13,MATCH(E317,Assumptions!$A$9:$A$13,0))</f>
        <v>1.0431578947368421</v>
      </c>
    </row>
    <row r="318" spans="1:18" x14ac:dyDescent="0.35">
      <c r="A318" s="26" t="s">
        <v>678</v>
      </c>
      <c r="B318" s="26" t="s">
        <v>679</v>
      </c>
      <c r="C318" s="26" t="s">
        <v>21</v>
      </c>
      <c r="D318" s="26" t="s">
        <v>31</v>
      </c>
      <c r="E318" s="26" t="s">
        <v>60</v>
      </c>
      <c r="F318" s="26" t="s">
        <v>66</v>
      </c>
      <c r="G318" s="27">
        <v>46229</v>
      </c>
      <c r="H318" s="27"/>
      <c r="I318" s="26"/>
      <c r="J318" s="26">
        <v>29</v>
      </c>
      <c r="K318" s="28">
        <v>1084000</v>
      </c>
      <c r="L318" s="26">
        <v>4</v>
      </c>
      <c r="M318" s="14" t="str">
        <f t="shared" si="16"/>
        <v>Active</v>
      </c>
      <c r="N318" s="14" t="str">
        <f t="shared" si="17"/>
        <v/>
      </c>
      <c r="O318" s="29">
        <f>(IF(H318="",Assumptions!$B$3,H318)-G318)/365.25</f>
        <v>0.1806981519507187</v>
      </c>
      <c r="P318" s="14" t="str">
        <f t="shared" si="18"/>
        <v>25 to 34</v>
      </c>
      <c r="Q318" s="14" t="str">
        <f t="shared" si="19"/>
        <v>Under 1 yr</v>
      </c>
      <c r="R318" s="30">
        <f>K318/INDEX(Assumptions!$B$9:$B$13,MATCH(E318,Assumptions!$A$9:$A$13,0))</f>
        <v>1.1410526315789473</v>
      </c>
    </row>
    <row r="319" spans="1:18" x14ac:dyDescent="0.35">
      <c r="A319" s="26" t="s">
        <v>680</v>
      </c>
      <c r="B319" s="26" t="s">
        <v>660</v>
      </c>
      <c r="C319" s="26" t="s">
        <v>21</v>
      </c>
      <c r="D319" s="26" t="s">
        <v>31</v>
      </c>
      <c r="E319" s="26" t="s">
        <v>61</v>
      </c>
      <c r="F319" s="26" t="s">
        <v>68</v>
      </c>
      <c r="G319" s="27">
        <v>46234</v>
      </c>
      <c r="H319" s="27"/>
      <c r="I319" s="26"/>
      <c r="J319" s="26">
        <v>33</v>
      </c>
      <c r="K319" s="28">
        <v>1794000</v>
      </c>
      <c r="L319" s="26">
        <v>3</v>
      </c>
      <c r="M319" s="14" t="str">
        <f t="shared" si="16"/>
        <v>Active</v>
      </c>
      <c r="N319" s="14" t="str">
        <f t="shared" si="17"/>
        <v/>
      </c>
      <c r="O319" s="29">
        <f>(IF(H319="",Assumptions!$B$3,H319)-G319)/365.25</f>
        <v>0.16700889801505817</v>
      </c>
      <c r="P319" s="14" t="str">
        <f t="shared" si="18"/>
        <v>25 to 34</v>
      </c>
      <c r="Q319" s="14" t="str">
        <f t="shared" si="19"/>
        <v>Under 1 yr</v>
      </c>
      <c r="R319" s="30">
        <f>K319/INDEX(Assumptions!$B$9:$B$13,MATCH(E319,Assumptions!$A$9:$A$13,0))</f>
        <v>1.0872727272727272</v>
      </c>
    </row>
    <row r="320" spans="1:18" x14ac:dyDescent="0.35">
      <c r="A320" s="26" t="s">
        <v>681</v>
      </c>
      <c r="B320" s="26" t="s">
        <v>682</v>
      </c>
      <c r="C320" s="26" t="s">
        <v>21</v>
      </c>
      <c r="D320" s="26" t="s">
        <v>31</v>
      </c>
      <c r="E320" s="26" t="s">
        <v>59</v>
      </c>
      <c r="F320" s="26" t="s">
        <v>68</v>
      </c>
      <c r="G320" s="27">
        <v>46248</v>
      </c>
      <c r="H320" s="27"/>
      <c r="I320" s="26"/>
      <c r="J320" s="26">
        <v>25</v>
      </c>
      <c r="K320" s="28">
        <v>651000</v>
      </c>
      <c r="L320" s="26">
        <v>3</v>
      </c>
      <c r="M320" s="14" t="str">
        <f t="shared" si="16"/>
        <v>Active</v>
      </c>
      <c r="N320" s="14" t="str">
        <f t="shared" si="17"/>
        <v/>
      </c>
      <c r="O320" s="29">
        <f>(IF(H320="",Assumptions!$B$3,H320)-G320)/365.25</f>
        <v>0.12867898699520877</v>
      </c>
      <c r="P320" s="14" t="str">
        <f t="shared" si="18"/>
        <v>25 to 34</v>
      </c>
      <c r="Q320" s="14" t="str">
        <f t="shared" si="19"/>
        <v>Under 1 yr</v>
      </c>
      <c r="R320" s="30">
        <f>K320/INDEX(Assumptions!$B$9:$B$13,MATCH(E320,Assumptions!$A$9:$A$13,0))</f>
        <v>1.1836363636363636</v>
      </c>
    </row>
    <row r="321" spans="1:18" x14ac:dyDescent="0.35">
      <c r="A321" s="26" t="s">
        <v>683</v>
      </c>
      <c r="B321" s="26" t="s">
        <v>640</v>
      </c>
      <c r="C321" s="26" t="s">
        <v>20</v>
      </c>
      <c r="D321" s="26" t="s">
        <v>35</v>
      </c>
      <c r="E321" s="26" t="s">
        <v>60</v>
      </c>
      <c r="F321" s="26" t="s">
        <v>69</v>
      </c>
      <c r="G321" s="27">
        <v>46270</v>
      </c>
      <c r="H321" s="27"/>
      <c r="I321" s="26"/>
      <c r="J321" s="26">
        <v>30</v>
      </c>
      <c r="K321" s="28">
        <v>836000</v>
      </c>
      <c r="L321" s="26">
        <v>3</v>
      </c>
      <c r="M321" s="14" t="str">
        <f t="shared" si="16"/>
        <v>Active</v>
      </c>
      <c r="N321" s="14" t="str">
        <f t="shared" si="17"/>
        <v/>
      </c>
      <c r="O321" s="29">
        <f>(IF(H321="",Assumptions!$B$3,H321)-G321)/365.25</f>
        <v>6.8446269678302529E-2</v>
      </c>
      <c r="P321" s="14" t="str">
        <f t="shared" si="18"/>
        <v>25 to 34</v>
      </c>
      <c r="Q321" s="14" t="str">
        <f t="shared" si="19"/>
        <v>Under 1 yr</v>
      </c>
      <c r="R321" s="30">
        <f>K321/INDEX(Assumptions!$B$9:$B$13,MATCH(E321,Assumptions!$A$9:$A$13,0))</f>
        <v>0.88</v>
      </c>
    </row>
  </sheetData>
  <autoFilter ref="A1:R32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topLeftCell="A9" zoomScaleNormal="100" workbookViewId="0">
      <selection activeCell="A14" sqref="A14:C26"/>
    </sheetView>
  </sheetViews>
  <sheetFormatPr defaultColWidth="8.6328125" defaultRowHeight="14.5" x14ac:dyDescent="0.35"/>
  <cols>
    <col min="1" max="1" width="40" customWidth="1"/>
    <col min="2" max="2" width="22" customWidth="1"/>
    <col min="3" max="3" width="60" customWidth="1"/>
    <col min="4" max="6" width="12" customWidth="1"/>
  </cols>
  <sheetData>
    <row r="1" spans="1:6" ht="36" customHeight="1" x14ac:dyDescent="0.35">
      <c r="A1" s="9" t="s">
        <v>684</v>
      </c>
      <c r="B1" s="9"/>
      <c r="C1" s="9"/>
      <c r="D1" s="9"/>
      <c r="E1" s="9"/>
      <c r="F1" s="9"/>
    </row>
    <row r="2" spans="1:6" x14ac:dyDescent="0.35">
      <c r="A2" s="8" t="s">
        <v>685</v>
      </c>
      <c r="B2" s="8"/>
      <c r="C2" s="8"/>
      <c r="D2" s="8"/>
      <c r="E2" s="8"/>
      <c r="F2" s="8"/>
    </row>
    <row r="3" spans="1:6" x14ac:dyDescent="0.35">
      <c r="A3" s="10" t="s">
        <v>686</v>
      </c>
      <c r="B3" s="31">
        <v>46295</v>
      </c>
    </row>
    <row r="4" spans="1:6" x14ac:dyDescent="0.35">
      <c r="A4" s="10" t="s">
        <v>687</v>
      </c>
      <c r="B4" s="32">
        <f>EOMONTH(B3,-12)+1</f>
        <v>45931</v>
      </c>
    </row>
    <row r="8" spans="1:6" ht="30" customHeight="1" x14ac:dyDescent="0.35">
      <c r="A8" s="15" t="s">
        <v>54</v>
      </c>
      <c r="B8" s="15" t="s">
        <v>688</v>
      </c>
    </row>
    <row r="9" spans="1:6" x14ac:dyDescent="0.35">
      <c r="A9" s="16" t="s">
        <v>58</v>
      </c>
      <c r="B9" s="33">
        <v>350000</v>
      </c>
    </row>
    <row r="10" spans="1:6" x14ac:dyDescent="0.35">
      <c r="A10" s="16" t="s">
        <v>59</v>
      </c>
      <c r="B10" s="33">
        <v>550000</v>
      </c>
    </row>
    <row r="11" spans="1:6" x14ac:dyDescent="0.35">
      <c r="A11" s="16" t="s">
        <v>60</v>
      </c>
      <c r="B11" s="33">
        <v>950000</v>
      </c>
    </row>
    <row r="12" spans="1:6" x14ac:dyDescent="0.35">
      <c r="A12" s="16" t="s">
        <v>61</v>
      </c>
      <c r="B12" s="33">
        <v>1650000</v>
      </c>
    </row>
    <row r="13" spans="1:6" x14ac:dyDescent="0.35">
      <c r="A13" s="16" t="s">
        <v>62</v>
      </c>
      <c r="B13" s="33">
        <v>3000000</v>
      </c>
    </row>
    <row r="14" spans="1:6" x14ac:dyDescent="0.35">
      <c r="A14" s="34"/>
    </row>
    <row r="16" spans="1:6" x14ac:dyDescent="0.35">
      <c r="A16" s="35"/>
    </row>
    <row r="17" spans="1:1" x14ac:dyDescent="0.35">
      <c r="A17" s="14"/>
    </row>
    <row r="18" spans="1:1" x14ac:dyDescent="0.35">
      <c r="A18" s="14"/>
    </row>
    <row r="19" spans="1:1" x14ac:dyDescent="0.35">
      <c r="A19" s="14"/>
    </row>
    <row r="20" spans="1:1" x14ac:dyDescent="0.35">
      <c r="A20" s="35"/>
    </row>
    <row r="21" spans="1:1" x14ac:dyDescent="0.35">
      <c r="A21" s="14"/>
    </row>
    <row r="22" spans="1:1" x14ac:dyDescent="0.35">
      <c r="A22" s="14"/>
    </row>
    <row r="23" spans="1:1" x14ac:dyDescent="0.35">
      <c r="A23" s="14"/>
    </row>
    <row r="24" spans="1:1" x14ac:dyDescent="0.35">
      <c r="A24" s="14"/>
    </row>
    <row r="25" spans="1:1" x14ac:dyDescent="0.35">
      <c r="A25" s="14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Analysis</vt:lpstr>
      <vt:lpstr>Employee_Data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Sejal Rai</cp:lastModifiedBy>
  <cp:revision>1</cp:revision>
  <dcterms:created xsi:type="dcterms:W3CDTF">2026-10-29T07:47:55Z</dcterms:created>
  <dcterms:modified xsi:type="dcterms:W3CDTF">2026-10-29T08:07:50Z</dcterms:modified>
  <dc:language>en-US</dc:language>
</cp:coreProperties>
</file>