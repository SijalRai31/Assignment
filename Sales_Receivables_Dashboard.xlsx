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ejal Rai\Downloads\"/>
    </mc:Choice>
  </mc:AlternateContent>
  <xr:revisionPtr revIDLastSave="0" documentId="13_ncr:1_{F7850F9B-280A-4876-BF46-B9047C08F51B}" xr6:coauthVersionLast="47" xr6:coauthVersionMax="47" xr10:uidLastSave="{00000000-0000-0000-0000-000000000000}"/>
  <bookViews>
    <workbookView xWindow="-110" yWindow="-110" windowWidth="19420" windowHeight="10300" activeTab="1" xr2:uid="{00000000-000D-0000-FFFF-FFFF00000000}"/>
  </bookViews>
  <sheets>
    <sheet name="Sales_Data" sheetId="2" r:id="rId1"/>
    <sheet name="Sheet1" sheetId="3" r:id="rId2"/>
    <sheet name="Dashboard" sheetId="1" r:id="rId3"/>
  </sheets>
  <definedNames>
    <definedName name="_xlnm._FilterDatabase" localSheetId="0" hidden="1">Sales_Data!$A$1:$R$501</definedName>
    <definedName name="_xlchart.v1.0" hidden="1">Sheet1!$F$10:$F$13</definedName>
    <definedName name="_xlchart.v1.1" hidden="1">Sheet1!$G$10:$G$13</definedName>
    <definedName name="_xlchart.v1.10" hidden="1">Sheet1!$H$10:$H$13</definedName>
    <definedName name="_xlchart.v1.11" hidden="1">Sheet1!$H$8:$H$9</definedName>
    <definedName name="_xlchart.v1.12" hidden="1">Sheet1!$I$10:$I$13</definedName>
    <definedName name="_xlchart.v1.13" hidden="1">Sheet1!$I$8:$I$9</definedName>
    <definedName name="_xlchart.v1.2" hidden="1">Sheet1!$G$8:$G$9</definedName>
    <definedName name="_xlchart.v1.3" hidden="1">Sheet1!$H$10:$H$13</definedName>
    <definedName name="_xlchart.v1.4" hidden="1">Sheet1!$H$8:$H$9</definedName>
    <definedName name="_xlchart.v1.5" hidden="1">Sheet1!$I$10:$I$13</definedName>
    <definedName name="_xlchart.v1.6" hidden="1">Sheet1!$I$8:$I$9</definedName>
    <definedName name="_xlchart.v1.7" hidden="1">Sheet1!$F$10:$F$13</definedName>
    <definedName name="_xlchart.v1.8" hidden="1">Sheet1!$G$10:$G$13</definedName>
    <definedName name="_xlchart.v1.9" hidden="1">Sheet1!$G$8:$G$9</definedName>
    <definedName name="Slicer_Region">#N/A</definedName>
  </definedNames>
  <calcPr calcId="191029"/>
  <pivotCaches>
    <pivotCache cacheId="2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501" i="2" l="1"/>
  <c r="Q501" i="2" s="1"/>
  <c r="R500" i="2"/>
  <c r="Q500" i="2" s="1"/>
  <c r="R499" i="2"/>
  <c r="Q499" i="2" s="1"/>
  <c r="R498" i="2"/>
  <c r="Q498" i="2" s="1"/>
  <c r="R497" i="2"/>
  <c r="Q497" i="2" s="1"/>
  <c r="R496" i="2"/>
  <c r="Q496" i="2" s="1"/>
  <c r="R495" i="2"/>
  <c r="Q495" i="2" s="1"/>
  <c r="R494" i="2"/>
  <c r="Q494" i="2" s="1"/>
  <c r="R493" i="2"/>
  <c r="Q493" i="2" s="1"/>
  <c r="R492" i="2"/>
  <c r="Q492" i="2" s="1"/>
  <c r="R491" i="2"/>
  <c r="Q491" i="2" s="1"/>
  <c r="R490" i="2"/>
  <c r="Q490" i="2" s="1"/>
  <c r="R489" i="2"/>
  <c r="Q489" i="2" s="1"/>
  <c r="R488" i="2"/>
  <c r="Q488" i="2" s="1"/>
  <c r="R487" i="2"/>
  <c r="Q487" i="2" s="1"/>
  <c r="R486" i="2"/>
  <c r="Q486" i="2" s="1"/>
  <c r="R485" i="2"/>
  <c r="Q485" i="2" s="1"/>
  <c r="R484" i="2"/>
  <c r="Q484" i="2" s="1"/>
  <c r="R483" i="2"/>
  <c r="Q483" i="2" s="1"/>
  <c r="R482" i="2"/>
  <c r="Q482" i="2" s="1"/>
  <c r="R481" i="2"/>
  <c r="Q481" i="2" s="1"/>
  <c r="R480" i="2"/>
  <c r="Q480" i="2" s="1"/>
  <c r="R479" i="2"/>
  <c r="Q479" i="2" s="1"/>
  <c r="R478" i="2"/>
  <c r="Q478" i="2" s="1"/>
  <c r="R477" i="2"/>
  <c r="Q477" i="2" s="1"/>
  <c r="R476" i="2"/>
  <c r="Q476" i="2" s="1"/>
  <c r="R475" i="2"/>
  <c r="Q475" i="2" s="1"/>
  <c r="R474" i="2"/>
  <c r="Q474" i="2" s="1"/>
  <c r="R473" i="2"/>
  <c r="Q473" i="2" s="1"/>
  <c r="R472" i="2"/>
  <c r="Q472" i="2" s="1"/>
  <c r="R471" i="2"/>
  <c r="Q471" i="2" s="1"/>
  <c r="R470" i="2"/>
  <c r="Q470" i="2" s="1"/>
  <c r="R469" i="2"/>
  <c r="Q469" i="2" s="1"/>
  <c r="R468" i="2"/>
  <c r="Q468" i="2" s="1"/>
  <c r="R467" i="2"/>
  <c r="Q467" i="2" s="1"/>
  <c r="R466" i="2"/>
  <c r="Q466" i="2" s="1"/>
  <c r="R465" i="2"/>
  <c r="Q465" i="2" s="1"/>
  <c r="R464" i="2"/>
  <c r="Q464" i="2" s="1"/>
  <c r="R463" i="2"/>
  <c r="Q463" i="2" s="1"/>
  <c r="R462" i="2"/>
  <c r="Q462" i="2" s="1"/>
  <c r="R461" i="2"/>
  <c r="Q461" i="2" s="1"/>
  <c r="R460" i="2"/>
  <c r="Q460" i="2" s="1"/>
  <c r="R459" i="2"/>
  <c r="Q459" i="2" s="1"/>
  <c r="R458" i="2"/>
  <c r="Q458" i="2" s="1"/>
  <c r="R457" i="2"/>
  <c r="Q457" i="2" s="1"/>
  <c r="R456" i="2"/>
  <c r="Q456" i="2" s="1"/>
  <c r="R455" i="2"/>
  <c r="Q455" i="2" s="1"/>
  <c r="R454" i="2"/>
  <c r="Q454" i="2" s="1"/>
  <c r="R453" i="2"/>
  <c r="Q453" i="2" s="1"/>
  <c r="R452" i="2"/>
  <c r="Q452" i="2" s="1"/>
  <c r="R451" i="2"/>
  <c r="Q451" i="2" s="1"/>
  <c r="R450" i="2"/>
  <c r="Q450" i="2" s="1"/>
  <c r="R449" i="2"/>
  <c r="Q449" i="2" s="1"/>
  <c r="R448" i="2"/>
  <c r="Q448" i="2" s="1"/>
  <c r="R447" i="2"/>
  <c r="Q447" i="2" s="1"/>
  <c r="R446" i="2"/>
  <c r="Q446" i="2" s="1"/>
  <c r="R445" i="2"/>
  <c r="Q445" i="2" s="1"/>
  <c r="R444" i="2"/>
  <c r="Q444" i="2" s="1"/>
  <c r="R443" i="2"/>
  <c r="Q443" i="2" s="1"/>
  <c r="R442" i="2"/>
  <c r="Q442" i="2" s="1"/>
  <c r="R441" i="2"/>
  <c r="Q441" i="2" s="1"/>
  <c r="R440" i="2"/>
  <c r="Q440" i="2" s="1"/>
  <c r="R439" i="2"/>
  <c r="Q439" i="2" s="1"/>
  <c r="R438" i="2"/>
  <c r="Q438" i="2" s="1"/>
  <c r="R437" i="2"/>
  <c r="Q437" i="2" s="1"/>
  <c r="R436" i="2"/>
  <c r="Q436" i="2" s="1"/>
  <c r="R435" i="2"/>
  <c r="Q435" i="2" s="1"/>
  <c r="R434" i="2"/>
  <c r="Q434" i="2" s="1"/>
  <c r="R433" i="2"/>
  <c r="Q433" i="2" s="1"/>
  <c r="R432" i="2"/>
  <c r="Q432" i="2" s="1"/>
  <c r="R431" i="2"/>
  <c r="Q431" i="2" s="1"/>
  <c r="R430" i="2"/>
  <c r="Q430" i="2" s="1"/>
  <c r="R429" i="2"/>
  <c r="Q429" i="2" s="1"/>
  <c r="R428" i="2"/>
  <c r="Q428" i="2" s="1"/>
  <c r="R427" i="2"/>
  <c r="Q427" i="2" s="1"/>
  <c r="R426" i="2"/>
  <c r="Q426" i="2" s="1"/>
  <c r="R425" i="2"/>
  <c r="Q425" i="2" s="1"/>
  <c r="R424" i="2"/>
  <c r="Q424" i="2" s="1"/>
  <c r="R423" i="2"/>
  <c r="Q423" i="2" s="1"/>
  <c r="R422" i="2"/>
  <c r="Q422" i="2" s="1"/>
  <c r="R421" i="2"/>
  <c r="Q421" i="2" s="1"/>
  <c r="R420" i="2"/>
  <c r="Q420" i="2" s="1"/>
  <c r="R419" i="2"/>
  <c r="Q419" i="2" s="1"/>
  <c r="R418" i="2"/>
  <c r="Q418" i="2" s="1"/>
  <c r="R417" i="2"/>
  <c r="Q417" i="2" s="1"/>
  <c r="R416" i="2"/>
  <c r="Q416" i="2" s="1"/>
  <c r="R415" i="2"/>
  <c r="Q415" i="2" s="1"/>
  <c r="R414" i="2"/>
  <c r="Q414" i="2" s="1"/>
  <c r="R413" i="2"/>
  <c r="Q413" i="2" s="1"/>
  <c r="R412" i="2"/>
  <c r="Q412" i="2" s="1"/>
  <c r="R411" i="2"/>
  <c r="Q411" i="2" s="1"/>
  <c r="R410" i="2"/>
  <c r="Q410" i="2" s="1"/>
  <c r="R409" i="2"/>
  <c r="Q409" i="2" s="1"/>
  <c r="R408" i="2"/>
  <c r="Q408" i="2" s="1"/>
  <c r="R407" i="2"/>
  <c r="Q407" i="2" s="1"/>
  <c r="R406" i="2"/>
  <c r="Q406" i="2" s="1"/>
  <c r="R405" i="2"/>
  <c r="Q405" i="2" s="1"/>
  <c r="R404" i="2"/>
  <c r="Q404" i="2" s="1"/>
  <c r="R403" i="2"/>
  <c r="Q403" i="2" s="1"/>
  <c r="R402" i="2"/>
  <c r="Q402" i="2" s="1"/>
  <c r="R401" i="2"/>
  <c r="Q401" i="2" s="1"/>
  <c r="R400" i="2"/>
  <c r="Q400" i="2" s="1"/>
  <c r="R399" i="2"/>
  <c r="Q399" i="2" s="1"/>
  <c r="R398" i="2"/>
  <c r="Q398" i="2" s="1"/>
  <c r="R397" i="2"/>
  <c r="Q397" i="2" s="1"/>
  <c r="R396" i="2"/>
  <c r="Q396" i="2" s="1"/>
  <c r="R395" i="2"/>
  <c r="Q395" i="2" s="1"/>
  <c r="R394" i="2"/>
  <c r="Q394" i="2" s="1"/>
  <c r="R393" i="2"/>
  <c r="Q393" i="2" s="1"/>
  <c r="R392" i="2"/>
  <c r="Q392" i="2" s="1"/>
  <c r="R391" i="2"/>
  <c r="Q391" i="2" s="1"/>
  <c r="R390" i="2"/>
  <c r="Q390" i="2" s="1"/>
  <c r="R389" i="2"/>
  <c r="Q389" i="2" s="1"/>
  <c r="R388" i="2"/>
  <c r="Q388" i="2" s="1"/>
  <c r="R387" i="2"/>
  <c r="Q387" i="2" s="1"/>
  <c r="R386" i="2"/>
  <c r="Q386" i="2" s="1"/>
  <c r="R385" i="2"/>
  <c r="Q385" i="2" s="1"/>
  <c r="R384" i="2"/>
  <c r="Q384" i="2" s="1"/>
  <c r="R383" i="2"/>
  <c r="Q383" i="2" s="1"/>
  <c r="R382" i="2"/>
  <c r="Q382" i="2" s="1"/>
  <c r="R381" i="2"/>
  <c r="Q381" i="2" s="1"/>
  <c r="R380" i="2"/>
  <c r="Q380" i="2" s="1"/>
  <c r="R379" i="2"/>
  <c r="Q379" i="2" s="1"/>
  <c r="R378" i="2"/>
  <c r="Q378" i="2" s="1"/>
  <c r="R377" i="2"/>
  <c r="Q377" i="2" s="1"/>
  <c r="R376" i="2"/>
  <c r="Q376" i="2" s="1"/>
  <c r="R375" i="2"/>
  <c r="Q375" i="2" s="1"/>
  <c r="R374" i="2"/>
  <c r="Q374" i="2" s="1"/>
  <c r="R373" i="2"/>
  <c r="Q373" i="2" s="1"/>
  <c r="R372" i="2"/>
  <c r="Q372" i="2" s="1"/>
  <c r="R371" i="2"/>
  <c r="Q371" i="2" s="1"/>
  <c r="R370" i="2"/>
  <c r="Q370" i="2" s="1"/>
  <c r="R369" i="2"/>
  <c r="Q369" i="2" s="1"/>
  <c r="R368" i="2"/>
  <c r="Q368" i="2" s="1"/>
  <c r="R367" i="2"/>
  <c r="Q367" i="2" s="1"/>
  <c r="R366" i="2"/>
  <c r="Q366" i="2" s="1"/>
  <c r="R365" i="2"/>
  <c r="Q365" i="2" s="1"/>
  <c r="R364" i="2"/>
  <c r="Q364" i="2" s="1"/>
  <c r="R363" i="2"/>
  <c r="Q363" i="2" s="1"/>
  <c r="R362" i="2"/>
  <c r="Q362" i="2" s="1"/>
  <c r="R361" i="2"/>
  <c r="Q361" i="2" s="1"/>
  <c r="R360" i="2"/>
  <c r="Q360" i="2" s="1"/>
  <c r="R359" i="2"/>
  <c r="Q359" i="2" s="1"/>
  <c r="R358" i="2"/>
  <c r="Q358" i="2" s="1"/>
  <c r="R357" i="2"/>
  <c r="Q357" i="2" s="1"/>
  <c r="R356" i="2"/>
  <c r="Q356" i="2" s="1"/>
  <c r="R355" i="2"/>
  <c r="Q355" i="2" s="1"/>
  <c r="R354" i="2"/>
  <c r="Q354" i="2" s="1"/>
  <c r="R353" i="2"/>
  <c r="Q353" i="2" s="1"/>
  <c r="R352" i="2"/>
  <c r="Q352" i="2" s="1"/>
  <c r="R351" i="2"/>
  <c r="Q351" i="2" s="1"/>
  <c r="R350" i="2"/>
  <c r="Q350" i="2" s="1"/>
  <c r="R349" i="2"/>
  <c r="Q349" i="2" s="1"/>
  <c r="R348" i="2"/>
  <c r="Q348" i="2" s="1"/>
  <c r="R347" i="2"/>
  <c r="Q347" i="2" s="1"/>
  <c r="R346" i="2"/>
  <c r="Q346" i="2" s="1"/>
  <c r="R345" i="2"/>
  <c r="Q345" i="2" s="1"/>
  <c r="R344" i="2"/>
  <c r="Q344" i="2" s="1"/>
  <c r="R343" i="2"/>
  <c r="Q343" i="2" s="1"/>
  <c r="R342" i="2"/>
  <c r="Q342" i="2" s="1"/>
  <c r="R341" i="2"/>
  <c r="Q341" i="2" s="1"/>
  <c r="R340" i="2"/>
  <c r="Q340" i="2" s="1"/>
  <c r="R339" i="2"/>
  <c r="Q339" i="2" s="1"/>
  <c r="R338" i="2"/>
  <c r="Q338" i="2" s="1"/>
  <c r="R337" i="2"/>
  <c r="Q337" i="2" s="1"/>
  <c r="R336" i="2"/>
  <c r="Q336" i="2" s="1"/>
  <c r="R335" i="2"/>
  <c r="Q335" i="2" s="1"/>
  <c r="R334" i="2"/>
  <c r="Q334" i="2" s="1"/>
  <c r="R333" i="2"/>
  <c r="Q333" i="2" s="1"/>
  <c r="R332" i="2"/>
  <c r="Q332" i="2" s="1"/>
  <c r="R331" i="2"/>
  <c r="Q331" i="2" s="1"/>
  <c r="R330" i="2"/>
  <c r="Q330" i="2" s="1"/>
  <c r="R329" i="2"/>
  <c r="Q329" i="2" s="1"/>
  <c r="R328" i="2"/>
  <c r="Q328" i="2" s="1"/>
  <c r="R327" i="2"/>
  <c r="Q327" i="2" s="1"/>
  <c r="R326" i="2"/>
  <c r="Q326" i="2" s="1"/>
  <c r="R325" i="2"/>
  <c r="Q325" i="2" s="1"/>
  <c r="R324" i="2"/>
  <c r="Q324" i="2" s="1"/>
  <c r="R323" i="2"/>
  <c r="Q323" i="2" s="1"/>
  <c r="R322" i="2"/>
  <c r="Q322" i="2" s="1"/>
  <c r="R321" i="2"/>
  <c r="Q321" i="2" s="1"/>
  <c r="R320" i="2"/>
  <c r="Q320" i="2" s="1"/>
  <c r="R319" i="2"/>
  <c r="Q319" i="2" s="1"/>
  <c r="R318" i="2"/>
  <c r="Q318" i="2" s="1"/>
  <c r="R317" i="2"/>
  <c r="Q317" i="2" s="1"/>
  <c r="R316" i="2"/>
  <c r="Q316" i="2" s="1"/>
  <c r="R315" i="2"/>
  <c r="Q315" i="2" s="1"/>
  <c r="R314" i="2"/>
  <c r="Q314" i="2" s="1"/>
  <c r="R313" i="2"/>
  <c r="Q313" i="2" s="1"/>
  <c r="R312" i="2"/>
  <c r="Q312" i="2" s="1"/>
  <c r="R311" i="2"/>
  <c r="Q311" i="2" s="1"/>
  <c r="R310" i="2"/>
  <c r="Q310" i="2" s="1"/>
  <c r="R309" i="2"/>
  <c r="Q309" i="2" s="1"/>
  <c r="R308" i="2"/>
  <c r="Q308" i="2" s="1"/>
  <c r="R307" i="2"/>
  <c r="Q307" i="2" s="1"/>
  <c r="R306" i="2"/>
  <c r="Q306" i="2" s="1"/>
  <c r="R305" i="2"/>
  <c r="Q305" i="2" s="1"/>
  <c r="R304" i="2"/>
  <c r="Q304" i="2" s="1"/>
  <c r="R303" i="2"/>
  <c r="Q303" i="2" s="1"/>
  <c r="R302" i="2"/>
  <c r="Q302" i="2" s="1"/>
  <c r="R301" i="2"/>
  <c r="Q301" i="2" s="1"/>
  <c r="R300" i="2"/>
  <c r="Q300" i="2" s="1"/>
  <c r="R299" i="2"/>
  <c r="Q299" i="2" s="1"/>
  <c r="R298" i="2"/>
  <c r="Q298" i="2" s="1"/>
  <c r="R297" i="2"/>
  <c r="Q297" i="2" s="1"/>
  <c r="R296" i="2"/>
  <c r="Q296" i="2" s="1"/>
  <c r="R295" i="2"/>
  <c r="Q295" i="2" s="1"/>
  <c r="R294" i="2"/>
  <c r="Q294" i="2" s="1"/>
  <c r="R293" i="2"/>
  <c r="Q293" i="2" s="1"/>
  <c r="R292" i="2"/>
  <c r="Q292" i="2" s="1"/>
  <c r="R291" i="2"/>
  <c r="Q291" i="2" s="1"/>
  <c r="R290" i="2"/>
  <c r="Q290" i="2" s="1"/>
  <c r="R289" i="2"/>
  <c r="Q289" i="2" s="1"/>
  <c r="R288" i="2"/>
  <c r="Q288" i="2" s="1"/>
  <c r="R287" i="2"/>
  <c r="Q287" i="2" s="1"/>
  <c r="R286" i="2"/>
  <c r="Q286" i="2" s="1"/>
  <c r="R285" i="2"/>
  <c r="Q285" i="2" s="1"/>
  <c r="R284" i="2"/>
  <c r="Q284" i="2" s="1"/>
  <c r="R283" i="2"/>
  <c r="Q283" i="2" s="1"/>
  <c r="R282" i="2"/>
  <c r="Q282" i="2" s="1"/>
  <c r="R281" i="2"/>
  <c r="Q281" i="2" s="1"/>
  <c r="R280" i="2"/>
  <c r="Q280" i="2" s="1"/>
  <c r="R279" i="2"/>
  <c r="Q279" i="2" s="1"/>
  <c r="R278" i="2"/>
  <c r="Q278" i="2" s="1"/>
  <c r="R277" i="2"/>
  <c r="Q277" i="2" s="1"/>
  <c r="R276" i="2"/>
  <c r="Q276" i="2" s="1"/>
  <c r="R275" i="2"/>
  <c r="Q275" i="2" s="1"/>
  <c r="R274" i="2"/>
  <c r="Q274" i="2" s="1"/>
  <c r="R273" i="2"/>
  <c r="Q273" i="2" s="1"/>
  <c r="R272" i="2"/>
  <c r="Q272" i="2" s="1"/>
  <c r="R271" i="2"/>
  <c r="Q271" i="2" s="1"/>
  <c r="R270" i="2"/>
  <c r="Q270" i="2" s="1"/>
  <c r="R269" i="2"/>
  <c r="Q269" i="2" s="1"/>
  <c r="R268" i="2"/>
  <c r="Q268" i="2" s="1"/>
  <c r="R267" i="2"/>
  <c r="Q267" i="2" s="1"/>
  <c r="R266" i="2"/>
  <c r="Q266" i="2" s="1"/>
  <c r="R265" i="2"/>
  <c r="Q265" i="2" s="1"/>
  <c r="R264" i="2"/>
  <c r="Q264" i="2" s="1"/>
  <c r="R263" i="2"/>
  <c r="Q263" i="2" s="1"/>
  <c r="R262" i="2"/>
  <c r="Q262" i="2" s="1"/>
  <c r="R261" i="2"/>
  <c r="Q261" i="2" s="1"/>
  <c r="R260" i="2"/>
  <c r="Q260" i="2" s="1"/>
  <c r="R259" i="2"/>
  <c r="Q259" i="2" s="1"/>
  <c r="R258" i="2"/>
  <c r="Q258" i="2" s="1"/>
  <c r="R257" i="2"/>
  <c r="Q257" i="2" s="1"/>
  <c r="R256" i="2"/>
  <c r="Q256" i="2" s="1"/>
  <c r="R255" i="2"/>
  <c r="Q255" i="2" s="1"/>
  <c r="R254" i="2"/>
  <c r="Q254" i="2" s="1"/>
  <c r="R253" i="2"/>
  <c r="Q253" i="2" s="1"/>
  <c r="R252" i="2"/>
  <c r="Q252" i="2" s="1"/>
  <c r="R251" i="2"/>
  <c r="Q251" i="2" s="1"/>
  <c r="R250" i="2"/>
  <c r="Q250" i="2" s="1"/>
  <c r="R249" i="2"/>
  <c r="Q249" i="2" s="1"/>
  <c r="R248" i="2"/>
  <c r="Q248" i="2" s="1"/>
  <c r="R247" i="2"/>
  <c r="Q247" i="2" s="1"/>
  <c r="R246" i="2"/>
  <c r="Q246" i="2" s="1"/>
  <c r="R245" i="2"/>
  <c r="Q245" i="2" s="1"/>
  <c r="R244" i="2"/>
  <c r="Q244" i="2" s="1"/>
  <c r="R243" i="2"/>
  <c r="Q243" i="2" s="1"/>
  <c r="R242" i="2"/>
  <c r="Q242" i="2" s="1"/>
  <c r="R241" i="2"/>
  <c r="Q241" i="2" s="1"/>
  <c r="R240" i="2"/>
  <c r="Q240" i="2" s="1"/>
  <c r="R239" i="2"/>
  <c r="Q239" i="2" s="1"/>
  <c r="R238" i="2"/>
  <c r="Q238" i="2" s="1"/>
  <c r="R237" i="2"/>
  <c r="Q237" i="2" s="1"/>
  <c r="R236" i="2"/>
  <c r="Q236" i="2" s="1"/>
  <c r="R235" i="2"/>
  <c r="Q235" i="2" s="1"/>
  <c r="R234" i="2"/>
  <c r="Q234" i="2" s="1"/>
  <c r="R233" i="2"/>
  <c r="Q233" i="2" s="1"/>
  <c r="R232" i="2"/>
  <c r="Q232" i="2" s="1"/>
  <c r="R231" i="2"/>
  <c r="Q231" i="2" s="1"/>
  <c r="R230" i="2"/>
  <c r="Q230" i="2" s="1"/>
  <c r="R229" i="2"/>
  <c r="Q229" i="2" s="1"/>
  <c r="R228" i="2"/>
  <c r="Q228" i="2" s="1"/>
  <c r="R227" i="2"/>
  <c r="Q227" i="2" s="1"/>
  <c r="R226" i="2"/>
  <c r="Q226" i="2" s="1"/>
  <c r="R225" i="2"/>
  <c r="Q225" i="2" s="1"/>
  <c r="R224" i="2"/>
  <c r="Q224" i="2" s="1"/>
  <c r="R223" i="2"/>
  <c r="Q223" i="2" s="1"/>
  <c r="R222" i="2"/>
  <c r="Q222" i="2" s="1"/>
  <c r="R221" i="2"/>
  <c r="Q221" i="2" s="1"/>
  <c r="R220" i="2"/>
  <c r="Q220" i="2" s="1"/>
  <c r="R219" i="2"/>
  <c r="Q219" i="2" s="1"/>
  <c r="R218" i="2"/>
  <c r="Q218" i="2" s="1"/>
  <c r="R217" i="2"/>
  <c r="Q217" i="2" s="1"/>
  <c r="R216" i="2"/>
  <c r="Q216" i="2" s="1"/>
  <c r="R215" i="2"/>
  <c r="Q215" i="2" s="1"/>
  <c r="R214" i="2"/>
  <c r="Q214" i="2" s="1"/>
  <c r="R213" i="2"/>
  <c r="Q213" i="2" s="1"/>
  <c r="R212" i="2"/>
  <c r="Q212" i="2" s="1"/>
  <c r="R211" i="2"/>
  <c r="Q211" i="2" s="1"/>
  <c r="R210" i="2"/>
  <c r="Q210" i="2" s="1"/>
  <c r="R209" i="2"/>
  <c r="Q209" i="2" s="1"/>
  <c r="R208" i="2"/>
  <c r="Q208" i="2" s="1"/>
  <c r="R207" i="2"/>
  <c r="Q207" i="2" s="1"/>
  <c r="R206" i="2"/>
  <c r="Q206" i="2" s="1"/>
  <c r="R205" i="2"/>
  <c r="Q205" i="2" s="1"/>
  <c r="R204" i="2"/>
  <c r="Q204" i="2" s="1"/>
  <c r="R203" i="2"/>
  <c r="Q203" i="2" s="1"/>
  <c r="R202" i="2"/>
  <c r="Q202" i="2" s="1"/>
  <c r="R201" i="2"/>
  <c r="Q201" i="2" s="1"/>
  <c r="R200" i="2"/>
  <c r="Q200" i="2" s="1"/>
  <c r="R199" i="2"/>
  <c r="Q199" i="2" s="1"/>
  <c r="R198" i="2"/>
  <c r="Q198" i="2" s="1"/>
  <c r="R197" i="2"/>
  <c r="Q197" i="2" s="1"/>
  <c r="R196" i="2"/>
  <c r="Q196" i="2" s="1"/>
  <c r="R195" i="2"/>
  <c r="Q195" i="2" s="1"/>
  <c r="R194" i="2"/>
  <c r="Q194" i="2" s="1"/>
  <c r="R193" i="2"/>
  <c r="Q193" i="2" s="1"/>
  <c r="R192" i="2"/>
  <c r="Q192" i="2" s="1"/>
  <c r="R191" i="2"/>
  <c r="Q191" i="2" s="1"/>
  <c r="R190" i="2"/>
  <c r="Q190" i="2" s="1"/>
  <c r="R189" i="2"/>
  <c r="Q189" i="2" s="1"/>
  <c r="R188" i="2"/>
  <c r="Q188" i="2" s="1"/>
  <c r="R187" i="2"/>
  <c r="Q187" i="2" s="1"/>
  <c r="R186" i="2"/>
  <c r="Q186" i="2" s="1"/>
  <c r="R185" i="2"/>
  <c r="Q185" i="2" s="1"/>
  <c r="R184" i="2"/>
  <c r="Q184" i="2" s="1"/>
  <c r="R183" i="2"/>
  <c r="Q183" i="2" s="1"/>
  <c r="R182" i="2"/>
  <c r="Q182" i="2" s="1"/>
  <c r="R181" i="2"/>
  <c r="Q181" i="2" s="1"/>
  <c r="R180" i="2"/>
  <c r="Q180" i="2" s="1"/>
  <c r="R179" i="2"/>
  <c r="Q179" i="2" s="1"/>
  <c r="R178" i="2"/>
  <c r="Q178" i="2" s="1"/>
  <c r="R177" i="2"/>
  <c r="Q177" i="2" s="1"/>
  <c r="R176" i="2"/>
  <c r="Q176" i="2" s="1"/>
  <c r="R175" i="2"/>
  <c r="Q175" i="2" s="1"/>
  <c r="R174" i="2"/>
  <c r="Q174" i="2" s="1"/>
  <c r="R173" i="2"/>
  <c r="Q173" i="2" s="1"/>
  <c r="R172" i="2"/>
  <c r="Q172" i="2" s="1"/>
  <c r="R171" i="2"/>
  <c r="Q171" i="2" s="1"/>
  <c r="R170" i="2"/>
  <c r="Q170" i="2" s="1"/>
  <c r="R169" i="2"/>
  <c r="Q169" i="2" s="1"/>
  <c r="R168" i="2"/>
  <c r="Q168" i="2" s="1"/>
  <c r="R167" i="2"/>
  <c r="Q167" i="2" s="1"/>
  <c r="R166" i="2"/>
  <c r="Q166" i="2" s="1"/>
  <c r="R165" i="2"/>
  <c r="Q165" i="2" s="1"/>
  <c r="R164" i="2"/>
  <c r="Q164" i="2" s="1"/>
  <c r="R163" i="2"/>
  <c r="Q163" i="2" s="1"/>
  <c r="R162" i="2"/>
  <c r="Q162" i="2" s="1"/>
  <c r="R161" i="2"/>
  <c r="Q161" i="2" s="1"/>
  <c r="R160" i="2"/>
  <c r="Q160" i="2" s="1"/>
  <c r="R159" i="2"/>
  <c r="Q159" i="2"/>
  <c r="R158" i="2"/>
  <c r="Q158" i="2"/>
  <c r="R157" i="2"/>
  <c r="Q157" i="2" s="1"/>
  <c r="R156" i="2"/>
  <c r="Q156" i="2" s="1"/>
  <c r="R155" i="2"/>
  <c r="Q155" i="2"/>
  <c r="R154" i="2"/>
  <c r="Q154" i="2"/>
  <c r="R153" i="2"/>
  <c r="Q153" i="2" s="1"/>
  <c r="R152" i="2"/>
  <c r="Q152" i="2" s="1"/>
  <c r="R151" i="2"/>
  <c r="Q151" i="2"/>
  <c r="R150" i="2"/>
  <c r="Q150" i="2"/>
  <c r="R149" i="2"/>
  <c r="Q149" i="2" s="1"/>
  <c r="R148" i="2"/>
  <c r="Q148" i="2" s="1"/>
  <c r="R147" i="2"/>
  <c r="Q147" i="2"/>
  <c r="R146" i="2"/>
  <c r="Q146" i="2"/>
  <c r="R145" i="2"/>
  <c r="Q145" i="2" s="1"/>
  <c r="R144" i="2"/>
  <c r="Q144" i="2" s="1"/>
  <c r="R143" i="2"/>
  <c r="Q143" i="2"/>
  <c r="R142" i="2"/>
  <c r="Q142" i="2"/>
  <c r="R141" i="2"/>
  <c r="Q141" i="2" s="1"/>
  <c r="R140" i="2"/>
  <c r="Q140" i="2" s="1"/>
  <c r="R139" i="2"/>
  <c r="Q139" i="2"/>
  <c r="R138" i="2"/>
  <c r="Q138" i="2"/>
  <c r="R137" i="2"/>
  <c r="Q137" i="2" s="1"/>
  <c r="R136" i="2"/>
  <c r="Q136" i="2" s="1"/>
  <c r="R135" i="2"/>
  <c r="Q135" i="2"/>
  <c r="R134" i="2"/>
  <c r="Q134" i="2"/>
  <c r="R133" i="2"/>
  <c r="Q133" i="2" s="1"/>
  <c r="R132" i="2"/>
  <c r="Q132" i="2" s="1"/>
  <c r="R131" i="2"/>
  <c r="Q131" i="2"/>
  <c r="R130" i="2"/>
  <c r="Q130" i="2"/>
  <c r="R129" i="2"/>
  <c r="Q129" i="2" s="1"/>
  <c r="R128" i="2"/>
  <c r="Q128" i="2" s="1"/>
  <c r="R127" i="2"/>
  <c r="Q127" i="2"/>
  <c r="R126" i="2"/>
  <c r="Q126" i="2"/>
  <c r="R125" i="2"/>
  <c r="Q125" i="2" s="1"/>
  <c r="R124" i="2"/>
  <c r="Q124" i="2" s="1"/>
  <c r="R123" i="2"/>
  <c r="Q123" i="2"/>
  <c r="R122" i="2"/>
  <c r="Q122" i="2"/>
  <c r="R121" i="2"/>
  <c r="Q121" i="2" s="1"/>
  <c r="R120" i="2"/>
  <c r="Q120" i="2" s="1"/>
  <c r="R119" i="2"/>
  <c r="Q119" i="2"/>
  <c r="R118" i="2"/>
  <c r="Q118" i="2"/>
  <c r="R117" i="2"/>
  <c r="Q117" i="2" s="1"/>
  <c r="R116" i="2"/>
  <c r="Q116" i="2" s="1"/>
  <c r="R115" i="2"/>
  <c r="Q115" i="2"/>
  <c r="R114" i="2"/>
  <c r="Q114" i="2"/>
  <c r="R113" i="2"/>
  <c r="Q113" i="2" s="1"/>
  <c r="R112" i="2"/>
  <c r="Q112" i="2" s="1"/>
  <c r="R111" i="2"/>
  <c r="Q111" i="2"/>
  <c r="R110" i="2"/>
  <c r="Q110" i="2"/>
  <c r="R109" i="2"/>
  <c r="Q109" i="2" s="1"/>
  <c r="R108" i="2"/>
  <c r="Q108" i="2" s="1"/>
  <c r="R107" i="2"/>
  <c r="Q107" i="2"/>
  <c r="R106" i="2"/>
  <c r="Q106" i="2"/>
  <c r="R105" i="2"/>
  <c r="Q105" i="2" s="1"/>
  <c r="R104" i="2"/>
  <c r="Q104" i="2" s="1"/>
  <c r="R103" i="2"/>
  <c r="Q103" i="2"/>
  <c r="R102" i="2"/>
  <c r="Q102" i="2"/>
  <c r="R101" i="2"/>
  <c r="Q101" i="2" s="1"/>
  <c r="R100" i="2"/>
  <c r="Q100" i="2" s="1"/>
  <c r="R99" i="2"/>
  <c r="Q99" i="2"/>
  <c r="R98" i="2"/>
  <c r="Q98" i="2"/>
  <c r="R97" i="2"/>
  <c r="Q97" i="2" s="1"/>
  <c r="R96" i="2"/>
  <c r="Q96" i="2" s="1"/>
  <c r="R95" i="2"/>
  <c r="Q95" i="2"/>
  <c r="R94" i="2"/>
  <c r="Q94" i="2"/>
  <c r="R93" i="2"/>
  <c r="Q93" i="2" s="1"/>
  <c r="R92" i="2"/>
  <c r="Q92" i="2" s="1"/>
  <c r="R91" i="2"/>
  <c r="Q91" i="2"/>
  <c r="R90" i="2"/>
  <c r="Q90" i="2"/>
  <c r="R89" i="2"/>
  <c r="Q89" i="2" s="1"/>
  <c r="R88" i="2"/>
  <c r="Q88" i="2" s="1"/>
  <c r="R87" i="2"/>
  <c r="Q87" i="2"/>
  <c r="R86" i="2"/>
  <c r="Q86" i="2"/>
  <c r="R85" i="2"/>
  <c r="Q85" i="2" s="1"/>
  <c r="R84" i="2"/>
  <c r="Q84" i="2" s="1"/>
  <c r="R83" i="2"/>
  <c r="Q83" i="2"/>
  <c r="R82" i="2"/>
  <c r="Q82" i="2"/>
  <c r="R81" i="2"/>
  <c r="Q81" i="2" s="1"/>
  <c r="R80" i="2"/>
  <c r="Q80" i="2" s="1"/>
  <c r="R79" i="2"/>
  <c r="Q79" i="2"/>
  <c r="R78" i="2"/>
  <c r="Q78" i="2"/>
  <c r="R77" i="2"/>
  <c r="Q77" i="2" s="1"/>
  <c r="R76" i="2"/>
  <c r="Q76" i="2" s="1"/>
  <c r="R75" i="2"/>
  <c r="Q75" i="2"/>
  <c r="R74" i="2"/>
  <c r="Q74" i="2"/>
  <c r="R73" i="2"/>
  <c r="Q73" i="2" s="1"/>
  <c r="R72" i="2"/>
  <c r="Q72" i="2" s="1"/>
  <c r="R71" i="2"/>
  <c r="Q71" i="2"/>
  <c r="R70" i="2"/>
  <c r="Q70" i="2"/>
  <c r="R69" i="2"/>
  <c r="Q69" i="2" s="1"/>
  <c r="R68" i="2"/>
  <c r="Q68" i="2" s="1"/>
  <c r="R67" i="2"/>
  <c r="Q67" i="2"/>
  <c r="R66" i="2"/>
  <c r="Q66" i="2"/>
  <c r="R65" i="2"/>
  <c r="Q65" i="2" s="1"/>
  <c r="R64" i="2"/>
  <c r="Q64" i="2" s="1"/>
  <c r="R63" i="2"/>
  <c r="Q63" i="2"/>
  <c r="R62" i="2"/>
  <c r="Q62" i="2"/>
  <c r="R61" i="2"/>
  <c r="Q61" i="2" s="1"/>
  <c r="R60" i="2"/>
  <c r="Q60" i="2" s="1"/>
  <c r="R59" i="2"/>
  <c r="Q59" i="2"/>
  <c r="R58" i="2"/>
  <c r="Q58" i="2"/>
  <c r="R57" i="2"/>
  <c r="Q57" i="2" s="1"/>
  <c r="R56" i="2"/>
  <c r="Q56" i="2" s="1"/>
  <c r="R55" i="2"/>
  <c r="Q55" i="2"/>
  <c r="R54" i="2"/>
  <c r="Q54" i="2"/>
  <c r="R53" i="2"/>
  <c r="Q53" i="2" s="1"/>
  <c r="R52" i="2"/>
  <c r="Q52" i="2" s="1"/>
  <c r="R51" i="2"/>
  <c r="Q51" i="2"/>
  <c r="R50" i="2"/>
  <c r="Q50" i="2"/>
  <c r="R49" i="2"/>
  <c r="Q49" i="2" s="1"/>
  <c r="R48" i="2"/>
  <c r="Q48" i="2" s="1"/>
  <c r="R47" i="2"/>
  <c r="Q47" i="2"/>
  <c r="R46" i="2"/>
  <c r="Q46" i="2"/>
  <c r="R45" i="2"/>
  <c r="Q45" i="2" s="1"/>
  <c r="R44" i="2"/>
  <c r="Q44" i="2" s="1"/>
  <c r="R43" i="2"/>
  <c r="Q43" i="2"/>
  <c r="R42" i="2"/>
  <c r="Q42" i="2"/>
  <c r="R41" i="2"/>
  <c r="Q41" i="2" s="1"/>
  <c r="R40" i="2"/>
  <c r="Q40" i="2" s="1"/>
  <c r="R39" i="2"/>
  <c r="Q39" i="2"/>
  <c r="R38" i="2"/>
  <c r="Q38" i="2"/>
  <c r="R37" i="2"/>
  <c r="Q37" i="2" s="1"/>
  <c r="R36" i="2"/>
  <c r="Q36" i="2" s="1"/>
  <c r="R35" i="2"/>
  <c r="Q35" i="2"/>
  <c r="R34" i="2"/>
  <c r="Q34" i="2"/>
  <c r="R33" i="2"/>
  <c r="Q33" i="2" s="1"/>
  <c r="R32" i="2"/>
  <c r="Q32" i="2" s="1"/>
  <c r="R31" i="2"/>
  <c r="Q31" i="2"/>
  <c r="R30" i="2"/>
  <c r="Q30" i="2"/>
  <c r="R29" i="2"/>
  <c r="Q29" i="2" s="1"/>
  <c r="R28" i="2"/>
  <c r="Q28" i="2" s="1"/>
  <c r="R27" i="2"/>
  <c r="Q27" i="2"/>
  <c r="R26" i="2"/>
  <c r="Q26" i="2"/>
  <c r="R25" i="2"/>
  <c r="Q25" i="2" s="1"/>
  <c r="R24" i="2"/>
  <c r="Q24" i="2" s="1"/>
  <c r="R23" i="2"/>
  <c r="Q23" i="2"/>
  <c r="R22" i="2"/>
  <c r="Q22" i="2"/>
  <c r="R21" i="2"/>
  <c r="Q21" i="2" s="1"/>
  <c r="R20" i="2"/>
  <c r="Q20" i="2" s="1"/>
  <c r="R19" i="2"/>
  <c r="Q19" i="2"/>
  <c r="R18" i="2"/>
  <c r="Q18" i="2"/>
  <c r="R17" i="2"/>
  <c r="Q17" i="2" s="1"/>
  <c r="R16" i="2"/>
  <c r="Q16" i="2" s="1"/>
  <c r="R15" i="2"/>
  <c r="Q15" i="2"/>
  <c r="R14" i="2"/>
  <c r="Q14" i="2"/>
  <c r="R13" i="2"/>
  <c r="Q13" i="2" s="1"/>
  <c r="R12" i="2"/>
  <c r="Q12" i="2" s="1"/>
  <c r="R11" i="2"/>
  <c r="Q11" i="2"/>
  <c r="R10" i="2"/>
  <c r="Q10" i="2"/>
  <c r="R9" i="2"/>
  <c r="Q9" i="2" s="1"/>
  <c r="R8" i="2"/>
  <c r="Q8" i="2" s="1"/>
  <c r="R7" i="2"/>
  <c r="Q7" i="2"/>
  <c r="R6" i="2"/>
  <c r="Q6" i="2"/>
  <c r="R5" i="2"/>
  <c r="Q5" i="2" s="1"/>
  <c r="R4" i="2"/>
  <c r="Q4" i="2" s="1"/>
  <c r="R3" i="2"/>
  <c r="Q3" i="2"/>
  <c r="R2" i="2"/>
  <c r="Q2" i="2"/>
</calcChain>
</file>

<file path=xl/sharedStrings.xml><?xml version="1.0" encoding="utf-8"?>
<sst xmlns="http://schemas.openxmlformats.org/spreadsheetml/2006/main" count="6654" uniqueCount="1693">
  <si>
    <t>SALES &amp; RECEIVABLES DASHBOARD</t>
  </si>
  <si>
    <t>Overview of invoiced sales, cash collected, outstanding receivables and payment status</t>
  </si>
  <si>
    <t>TOTAL INVOICED SALES</t>
  </si>
  <si>
    <t>TOTAL RECEIPTS</t>
  </si>
  <si>
    <t>OUTSTANDING RECEIVABLES</t>
  </si>
  <si>
    <t>COLLECTION RATE</t>
  </si>
  <si>
    <t>PENDING INVOICES</t>
  </si>
  <si>
    <t>MONTHLY PERFORMANCE</t>
  </si>
  <si>
    <t>REGIONAL SALES &amp; RECEIVABLES</t>
  </si>
  <si>
    <t>PRODUCT PERFORMANCE</t>
  </si>
  <si>
    <t>Month</t>
  </si>
  <si>
    <t>Invoice Amount</t>
  </si>
  <si>
    <t>Receipts</t>
  </si>
  <si>
    <t>Receivable</t>
  </si>
  <si>
    <t>Region</t>
  </si>
  <si>
    <t>Sales</t>
  </si>
  <si>
    <t>Product</t>
  </si>
  <si>
    <t>Jan</t>
  </si>
  <si>
    <t>West</t>
  </si>
  <si>
    <t>Mobile</t>
  </si>
  <si>
    <t>Feb</t>
  </si>
  <si>
    <t>South</t>
  </si>
  <si>
    <t>Laptop</t>
  </si>
  <si>
    <t>Mar</t>
  </si>
  <si>
    <t>North</t>
  </si>
  <si>
    <t>Printer</t>
  </si>
  <si>
    <t>Apr</t>
  </si>
  <si>
    <t>Tablet</t>
  </si>
  <si>
    <t>May</t>
  </si>
  <si>
    <t>Monitor</t>
  </si>
  <si>
    <t>Jun</t>
  </si>
  <si>
    <t>Jul</t>
  </si>
  <si>
    <t>Aug</t>
  </si>
  <si>
    <t>Sep</t>
  </si>
  <si>
    <t>PAYMENT STATUS</t>
  </si>
  <si>
    <t>SALES PERSON PERFORMANCE</t>
  </si>
  <si>
    <t>Oct</t>
  </si>
  <si>
    <t>Status</t>
  </si>
  <si>
    <t>Invoice Count</t>
  </si>
  <si>
    <t>Sales Person</t>
  </si>
  <si>
    <t>Nov</t>
  </si>
  <si>
    <t>Pending</t>
  </si>
  <si>
    <t>Amit</t>
  </si>
  <si>
    <t>Dec</t>
  </si>
  <si>
    <t>Received</t>
  </si>
  <si>
    <t>Neha</t>
  </si>
  <si>
    <t>Raj</t>
  </si>
  <si>
    <t>Fully received invoices</t>
  </si>
  <si>
    <t>Sneha</t>
  </si>
  <si>
    <t>Pending invoices</t>
  </si>
  <si>
    <t>Vikas</t>
  </si>
  <si>
    <t>Note: Dashboard summaries are based on the 500 records in Sales_Data. Amounts are shown in INR (₹).</t>
  </si>
  <si>
    <t>Serial No.</t>
  </si>
  <si>
    <t>Order No.</t>
  </si>
  <si>
    <t>Invoice Number</t>
  </si>
  <si>
    <t>Quarter</t>
  </si>
  <si>
    <t>Name of Customer</t>
  </si>
  <si>
    <t>GSTN</t>
  </si>
  <si>
    <t>Address</t>
  </si>
  <si>
    <t>City</t>
  </si>
  <si>
    <t>State</t>
  </si>
  <si>
    <t>Mode of Delivery</t>
  </si>
  <si>
    <t>Payment Status</t>
  </si>
  <si>
    <t>ORD0001</t>
  </si>
  <si>
    <t>INV0001</t>
  </si>
  <si>
    <t>Q2</t>
  </si>
  <si>
    <t>ABC Pvt Ltd</t>
  </si>
  <si>
    <t>GST55675</t>
  </si>
  <si>
    <t>74, Main Street</t>
  </si>
  <si>
    <t>Bangalore</t>
  </si>
  <si>
    <t>Karnataka</t>
  </si>
  <si>
    <t>Transport</t>
  </si>
  <si>
    <t>ORD0002</t>
  </si>
  <si>
    <t>INV0002</t>
  </si>
  <si>
    <t>Global Traders</t>
  </si>
  <si>
    <t>GST76463</t>
  </si>
  <si>
    <t>2, Main Street</t>
  </si>
  <si>
    <t>Hand Delivery</t>
  </si>
  <si>
    <t>ORD0003</t>
  </si>
  <si>
    <t>INV0003</t>
  </si>
  <si>
    <t>Q1</t>
  </si>
  <si>
    <t>GST42359</t>
  </si>
  <si>
    <t>43, Main Street</t>
  </si>
  <si>
    <t>Delhi</t>
  </si>
  <si>
    <t>Courier</t>
  </si>
  <si>
    <t>ORD0004</t>
  </si>
  <si>
    <t>INV0004</t>
  </si>
  <si>
    <t>Q3</t>
  </si>
  <si>
    <t>Sunrise Ltd</t>
  </si>
  <si>
    <t>GST11882</t>
  </si>
  <si>
    <t>87, Main Street</t>
  </si>
  <si>
    <t>ORD0005</t>
  </si>
  <si>
    <t>INV0005</t>
  </si>
  <si>
    <t>GST71641</t>
  </si>
  <si>
    <t>28, Main Street</t>
  </si>
  <si>
    <t>Chennai</t>
  </si>
  <si>
    <t>Tamil Nadu</t>
  </si>
  <si>
    <t>ORD0006</t>
  </si>
  <si>
    <t>INV0006</t>
  </si>
  <si>
    <t>Tech Solutions</t>
  </si>
  <si>
    <t>GST33999</t>
  </si>
  <si>
    <t>40, Main Street</t>
  </si>
  <si>
    <t>ORD0007</t>
  </si>
  <si>
    <t>INV0007</t>
  </si>
  <si>
    <t>GST17467</t>
  </si>
  <si>
    <t>39, Main Street</t>
  </si>
  <si>
    <t>ORD0008</t>
  </si>
  <si>
    <t>INV0008</t>
  </si>
  <si>
    <t>GST22755</t>
  </si>
  <si>
    <t>85, Main Street</t>
  </si>
  <si>
    <t>Mumbai</t>
  </si>
  <si>
    <t>Maharashtra</t>
  </si>
  <si>
    <t>ORD0009</t>
  </si>
  <si>
    <t>INV0009</t>
  </si>
  <si>
    <t>GST66306</t>
  </si>
  <si>
    <t>91, Main Street</t>
  </si>
  <si>
    <t>ORD0010</t>
  </si>
  <si>
    <t>INV0010</t>
  </si>
  <si>
    <t>XYZ Corp</t>
  </si>
  <si>
    <t>GST86080</t>
  </si>
  <si>
    <t>73, Main Street</t>
  </si>
  <si>
    <t>ORD0011</t>
  </si>
  <si>
    <t>INV0011</t>
  </si>
  <si>
    <t>GST40471</t>
  </si>
  <si>
    <t>97, Main Street</t>
  </si>
  <si>
    <t>Pune</t>
  </si>
  <si>
    <t>ORD0012</t>
  </si>
  <si>
    <t>INV0012</t>
  </si>
  <si>
    <t>GST82981</t>
  </si>
  <si>
    <t>72, Main Street</t>
  </si>
  <si>
    <t>ORD0013</t>
  </si>
  <si>
    <t>INV0013</t>
  </si>
  <si>
    <t>GST48829</t>
  </si>
  <si>
    <t>30, Main Street</t>
  </si>
  <si>
    <t>ORD0014</t>
  </si>
  <si>
    <t>INV0014</t>
  </si>
  <si>
    <t>GST43394</t>
  </si>
  <si>
    <t>4, Main Street</t>
  </si>
  <si>
    <t>ORD0015</t>
  </si>
  <si>
    <t>INV0015</t>
  </si>
  <si>
    <t>GST84949</t>
  </si>
  <si>
    <t>5, Main Street</t>
  </si>
  <si>
    <t>ORD0016</t>
  </si>
  <si>
    <t>INV0016</t>
  </si>
  <si>
    <t>GST85277</t>
  </si>
  <si>
    <t>67, Main Street</t>
  </si>
  <si>
    <t>ORD0017</t>
  </si>
  <si>
    <t>INV0017</t>
  </si>
  <si>
    <t>GST66106</t>
  </si>
  <si>
    <t>25, Main Street</t>
  </si>
  <si>
    <t>ORD0018</t>
  </si>
  <si>
    <t>INV0018</t>
  </si>
  <si>
    <t>Q4</t>
  </si>
  <si>
    <t>GST30517</t>
  </si>
  <si>
    <t>94, Main Street</t>
  </si>
  <si>
    <t>ORD0019</t>
  </si>
  <si>
    <t>INV0019</t>
  </si>
  <si>
    <t>GST67700</t>
  </si>
  <si>
    <t>3, Main Street</t>
  </si>
  <si>
    <t>ORD0020</t>
  </si>
  <si>
    <t>INV0020</t>
  </si>
  <si>
    <t>GST26086</t>
  </si>
  <si>
    <t>65, Main Street</t>
  </si>
  <si>
    <t>ORD0021</t>
  </si>
  <si>
    <t>INV0021</t>
  </si>
  <si>
    <t>GST81827</t>
  </si>
  <si>
    <t>38, Main Street</t>
  </si>
  <si>
    <t>ORD0022</t>
  </si>
  <si>
    <t>INV0022</t>
  </si>
  <si>
    <t>GST34934</t>
  </si>
  <si>
    <t>68, Main Street</t>
  </si>
  <si>
    <t>ORD0023</t>
  </si>
  <si>
    <t>INV0023</t>
  </si>
  <si>
    <t>GST72064</t>
  </si>
  <si>
    <t>90, Main Street</t>
  </si>
  <si>
    <t>ORD0024</t>
  </si>
  <si>
    <t>INV0024</t>
  </si>
  <si>
    <t>GST41311</t>
  </si>
  <si>
    <t>26, Main Street</t>
  </si>
  <si>
    <t>ORD0025</t>
  </si>
  <si>
    <t>INV0025</t>
  </si>
  <si>
    <t>GST24186</t>
  </si>
  <si>
    <t>47, Main Street</t>
  </si>
  <si>
    <t>ORD0026</t>
  </si>
  <si>
    <t>INV0026</t>
  </si>
  <si>
    <t>GST54641</t>
  </si>
  <si>
    <t>54, Main Street</t>
  </si>
  <si>
    <t>ORD0027</t>
  </si>
  <si>
    <t>INV0027</t>
  </si>
  <si>
    <t>GST53823</t>
  </si>
  <si>
    <t>55, Main Street</t>
  </si>
  <si>
    <t>ORD0028</t>
  </si>
  <si>
    <t>INV0028</t>
  </si>
  <si>
    <t>GST49319</t>
  </si>
  <si>
    <t>46, Main Street</t>
  </si>
  <si>
    <t>ORD0029</t>
  </si>
  <si>
    <t>INV0029</t>
  </si>
  <si>
    <t>GST92817</t>
  </si>
  <si>
    <t>ORD0030</t>
  </si>
  <si>
    <t>INV0030</t>
  </si>
  <si>
    <t>GST23395</t>
  </si>
  <si>
    <t>ORD0031</t>
  </si>
  <si>
    <t>INV0031</t>
  </si>
  <si>
    <t>GST55256</t>
  </si>
  <si>
    <t>23, Main Street</t>
  </si>
  <si>
    <t>ORD0032</t>
  </si>
  <si>
    <t>INV0032</t>
  </si>
  <si>
    <t>GST66823</t>
  </si>
  <si>
    <t>84, Main Street</t>
  </si>
  <si>
    <t>ORD0033</t>
  </si>
  <si>
    <t>INV0033</t>
  </si>
  <si>
    <t>GST79593</t>
  </si>
  <si>
    <t>19, Main Street</t>
  </si>
  <si>
    <t>ORD0034</t>
  </si>
  <si>
    <t>INV0034</t>
  </si>
  <si>
    <t>GST44665</t>
  </si>
  <si>
    <t>53, Main Street</t>
  </si>
  <si>
    <t>ORD0035</t>
  </si>
  <si>
    <t>INV0035</t>
  </si>
  <si>
    <t>GST84853</t>
  </si>
  <si>
    <t>ORD0036</t>
  </si>
  <si>
    <t>INV0036</t>
  </si>
  <si>
    <t>GST23701</t>
  </si>
  <si>
    <t>78, Main Street</t>
  </si>
  <si>
    <t>ORD0037</t>
  </si>
  <si>
    <t>INV0037</t>
  </si>
  <si>
    <t>GST28196</t>
  </si>
  <si>
    <t>56, Main Street</t>
  </si>
  <si>
    <t>ORD0038</t>
  </si>
  <si>
    <t>INV0038</t>
  </si>
  <si>
    <t>GST91637</t>
  </si>
  <si>
    <t>ORD0039</t>
  </si>
  <si>
    <t>INV0039</t>
  </si>
  <si>
    <t>GST19174</t>
  </si>
  <si>
    <t>61, Main Street</t>
  </si>
  <si>
    <t>ORD0040</t>
  </si>
  <si>
    <t>INV0040</t>
  </si>
  <si>
    <t>GST15256</t>
  </si>
  <si>
    <t>80, Main Street</t>
  </si>
  <si>
    <t>ORD0041</t>
  </si>
  <si>
    <t>INV0041</t>
  </si>
  <si>
    <t>GST66394</t>
  </si>
  <si>
    <t>27, Main Street</t>
  </si>
  <si>
    <t>ORD0042</t>
  </si>
  <si>
    <t>INV0042</t>
  </si>
  <si>
    <t>GST76035</t>
  </si>
  <si>
    <t>49, Main Street</t>
  </si>
  <si>
    <t>ORD0043</t>
  </si>
  <si>
    <t>INV0043</t>
  </si>
  <si>
    <t>GST19404</t>
  </si>
  <si>
    <t>ORD0044</t>
  </si>
  <si>
    <t>INV0044</t>
  </si>
  <si>
    <t>GST13362</t>
  </si>
  <si>
    <t>45, Main Street</t>
  </si>
  <si>
    <t>ORD0045</t>
  </si>
  <si>
    <t>INV0045</t>
  </si>
  <si>
    <t>GST39176</t>
  </si>
  <si>
    <t>ORD0046</t>
  </si>
  <si>
    <t>INV0046</t>
  </si>
  <si>
    <t>GST41503</t>
  </si>
  <si>
    <t>ORD0047</t>
  </si>
  <si>
    <t>INV0047</t>
  </si>
  <si>
    <t>GST45388</t>
  </si>
  <si>
    <t>16, Main Street</t>
  </si>
  <si>
    <t>ORD0048</t>
  </si>
  <si>
    <t>INV0048</t>
  </si>
  <si>
    <t>GST98775</t>
  </si>
  <si>
    <t>35, Main Street</t>
  </si>
  <si>
    <t>ORD0049</t>
  </si>
  <si>
    <t>INV0049</t>
  </si>
  <si>
    <t>GST44586</t>
  </si>
  <si>
    <t>7, Main Street</t>
  </si>
  <si>
    <t>ORD0050</t>
  </si>
  <si>
    <t>INV0050</t>
  </si>
  <si>
    <t>GST61655</t>
  </si>
  <si>
    <t>13, Main Street</t>
  </si>
  <si>
    <t>ORD0051</t>
  </si>
  <si>
    <t>INV0051</t>
  </si>
  <si>
    <t>GST46104</t>
  </si>
  <si>
    <t>ORD0052</t>
  </si>
  <si>
    <t>INV0052</t>
  </si>
  <si>
    <t>GST49892</t>
  </si>
  <si>
    <t>ORD0053</t>
  </si>
  <si>
    <t>INV0053</t>
  </si>
  <si>
    <t>GST73156</t>
  </si>
  <si>
    <t>ORD0054</t>
  </si>
  <si>
    <t>INV0054</t>
  </si>
  <si>
    <t>GST92051</t>
  </si>
  <si>
    <t>83, Main Street</t>
  </si>
  <si>
    <t>ORD0055</t>
  </si>
  <si>
    <t>INV0055</t>
  </si>
  <si>
    <t>GST49617</t>
  </si>
  <si>
    <t>ORD0056</t>
  </si>
  <si>
    <t>INV0056</t>
  </si>
  <si>
    <t>GST51853</t>
  </si>
  <si>
    <t>64, Main Street</t>
  </si>
  <si>
    <t>ORD0057</t>
  </si>
  <si>
    <t>INV0057</t>
  </si>
  <si>
    <t>GST31380</t>
  </si>
  <si>
    <t>95, Main Street</t>
  </si>
  <si>
    <t>ORD0058</t>
  </si>
  <si>
    <t>INV0058</t>
  </si>
  <si>
    <t>GST65462</t>
  </si>
  <si>
    <t>ORD0059</t>
  </si>
  <si>
    <t>INV0059</t>
  </si>
  <si>
    <t>GST42762</t>
  </si>
  <si>
    <t>11, Main Street</t>
  </si>
  <si>
    <t>ORD0060</t>
  </si>
  <si>
    <t>INV0060</t>
  </si>
  <si>
    <t>GST82748</t>
  </si>
  <si>
    <t>ORD0061</t>
  </si>
  <si>
    <t>INV0061</t>
  </si>
  <si>
    <t>GST56116</t>
  </si>
  <si>
    <t>ORD0062</t>
  </si>
  <si>
    <t>INV0062</t>
  </si>
  <si>
    <t>GST33995</t>
  </si>
  <si>
    <t>ORD0063</t>
  </si>
  <si>
    <t>INV0063</t>
  </si>
  <si>
    <t>GST36754</t>
  </si>
  <si>
    <t>ORD0064</t>
  </si>
  <si>
    <t>INV0064</t>
  </si>
  <si>
    <t>GST60147</t>
  </si>
  <si>
    <t>ORD0065</t>
  </si>
  <si>
    <t>INV0065</t>
  </si>
  <si>
    <t>GST25477</t>
  </si>
  <si>
    <t>41, Main Street</t>
  </si>
  <si>
    <t>ORD0066</t>
  </si>
  <si>
    <t>INV0066</t>
  </si>
  <si>
    <t>GST64531</t>
  </si>
  <si>
    <t>ORD0067</t>
  </si>
  <si>
    <t>INV0067</t>
  </si>
  <si>
    <t>GST34028</t>
  </si>
  <si>
    <t>31, Main Street</t>
  </si>
  <si>
    <t>ORD0068</t>
  </si>
  <si>
    <t>INV0068</t>
  </si>
  <si>
    <t>GST90608</t>
  </si>
  <si>
    <t>ORD0069</t>
  </si>
  <si>
    <t>INV0069</t>
  </si>
  <si>
    <t>GST94222</t>
  </si>
  <si>
    <t>59, Main Street</t>
  </si>
  <si>
    <t>ORD0070</t>
  </si>
  <si>
    <t>INV0070</t>
  </si>
  <si>
    <t>GST39431</t>
  </si>
  <si>
    <t>ORD0071</t>
  </si>
  <si>
    <t>INV0071</t>
  </si>
  <si>
    <t>GST76469</t>
  </si>
  <si>
    <t>ORD0072</t>
  </si>
  <si>
    <t>INV0072</t>
  </si>
  <si>
    <t>GST15638</t>
  </si>
  <si>
    <t>ORD0073</t>
  </si>
  <si>
    <t>INV0073</t>
  </si>
  <si>
    <t>GST80538</t>
  </si>
  <si>
    <t>37, Main Street</t>
  </si>
  <si>
    <t>ORD0074</t>
  </si>
  <si>
    <t>INV0074</t>
  </si>
  <si>
    <t>GST20947</t>
  </si>
  <si>
    <t>ORD0075</t>
  </si>
  <si>
    <t>INV0075</t>
  </si>
  <si>
    <t>GST79983</t>
  </si>
  <si>
    <t>70, Main Street</t>
  </si>
  <si>
    <t>ORD0076</t>
  </si>
  <si>
    <t>INV0076</t>
  </si>
  <si>
    <t>GST68446</t>
  </si>
  <si>
    <t>ORD0077</t>
  </si>
  <si>
    <t>INV0077</t>
  </si>
  <si>
    <t>GST34128</t>
  </si>
  <si>
    <t>44, Main Street</t>
  </si>
  <si>
    <t>ORD0078</t>
  </si>
  <si>
    <t>INV0078</t>
  </si>
  <si>
    <t>GST39231</t>
  </si>
  <si>
    <t>ORD0079</t>
  </si>
  <si>
    <t>INV0079</t>
  </si>
  <si>
    <t>GST65193</t>
  </si>
  <si>
    <t>24, Main Street</t>
  </si>
  <si>
    <t>ORD0080</t>
  </si>
  <si>
    <t>INV0080</t>
  </si>
  <si>
    <t>GST67754</t>
  </si>
  <si>
    <t>17, Main Street</t>
  </si>
  <si>
    <t>ORD0081</t>
  </si>
  <si>
    <t>INV0081</t>
  </si>
  <si>
    <t>GST48395</t>
  </si>
  <si>
    <t>ORD0082</t>
  </si>
  <si>
    <t>INV0082</t>
  </si>
  <si>
    <t>GST51348</t>
  </si>
  <si>
    <t>20, Main Street</t>
  </si>
  <si>
    <t>ORD0083</t>
  </si>
  <si>
    <t>INV0083</t>
  </si>
  <si>
    <t>GST66039</t>
  </si>
  <si>
    <t>21, Main Street</t>
  </si>
  <si>
    <t>ORD0084</t>
  </si>
  <si>
    <t>INV0084</t>
  </si>
  <si>
    <t>GST84349</t>
  </si>
  <si>
    <t>8, Main Street</t>
  </si>
  <si>
    <t>ORD0085</t>
  </si>
  <si>
    <t>INV0085</t>
  </si>
  <si>
    <t>GST68369</t>
  </si>
  <si>
    <t>86, Main Street</t>
  </si>
  <si>
    <t>ORD0086</t>
  </si>
  <si>
    <t>INV0086</t>
  </si>
  <si>
    <t>GST90430</t>
  </si>
  <si>
    <t>ORD0087</t>
  </si>
  <si>
    <t>INV0087</t>
  </si>
  <si>
    <t>GST88358</t>
  </si>
  <si>
    <t>79, Main Street</t>
  </si>
  <si>
    <t>ORD0088</t>
  </si>
  <si>
    <t>INV0088</t>
  </si>
  <si>
    <t>GST77619</t>
  </si>
  <si>
    <t>ORD0089</t>
  </si>
  <si>
    <t>INV0089</t>
  </si>
  <si>
    <t>GST77076</t>
  </si>
  <si>
    <t>ORD0090</t>
  </si>
  <si>
    <t>INV0090</t>
  </si>
  <si>
    <t>GST18230</t>
  </si>
  <si>
    <t>89, Main Street</t>
  </si>
  <si>
    <t>ORD0091</t>
  </si>
  <si>
    <t>INV0091</t>
  </si>
  <si>
    <t>GST69956</t>
  </si>
  <si>
    <t>ORD0092</t>
  </si>
  <si>
    <t>INV0092</t>
  </si>
  <si>
    <t>GST85784</t>
  </si>
  <si>
    <t>ORD0093</t>
  </si>
  <si>
    <t>INV0093</t>
  </si>
  <si>
    <t>GST84421</t>
  </si>
  <si>
    <t>10, Main Street</t>
  </si>
  <si>
    <t>ORD0094</t>
  </si>
  <si>
    <t>INV0094</t>
  </si>
  <si>
    <t>GST12566</t>
  </si>
  <si>
    <t>ORD0095</t>
  </si>
  <si>
    <t>INV0095</t>
  </si>
  <si>
    <t>GST89577</t>
  </si>
  <si>
    <t>ORD0096</t>
  </si>
  <si>
    <t>INV0096</t>
  </si>
  <si>
    <t>GST62911</t>
  </si>
  <si>
    <t>96, Main Street</t>
  </si>
  <si>
    <t>ORD0097</t>
  </si>
  <si>
    <t>INV0097</t>
  </si>
  <si>
    <t>GST41927</t>
  </si>
  <si>
    <t>ORD0098</t>
  </si>
  <si>
    <t>INV0098</t>
  </si>
  <si>
    <t>GST82587</t>
  </si>
  <si>
    <t>ORD0099</t>
  </si>
  <si>
    <t>INV0099</t>
  </si>
  <si>
    <t>GST91122</t>
  </si>
  <si>
    <t>ORD0100</t>
  </si>
  <si>
    <t>INV0100</t>
  </si>
  <si>
    <t>GST39192</t>
  </si>
  <si>
    <t>ORD0101</t>
  </si>
  <si>
    <t>INV0101</t>
  </si>
  <si>
    <t>GST21835</t>
  </si>
  <si>
    <t>ORD0102</t>
  </si>
  <si>
    <t>INV0102</t>
  </si>
  <si>
    <t>GST39697</t>
  </si>
  <si>
    <t>ORD0103</t>
  </si>
  <si>
    <t>INV0103</t>
  </si>
  <si>
    <t>GST84553</t>
  </si>
  <si>
    <t>ORD0104</t>
  </si>
  <si>
    <t>INV0104</t>
  </si>
  <si>
    <t>GST65409</t>
  </si>
  <si>
    <t>100, Main Street</t>
  </si>
  <si>
    <t>ORD0105</t>
  </si>
  <si>
    <t>INV0105</t>
  </si>
  <si>
    <t>GST25850</t>
  </si>
  <si>
    <t>ORD0106</t>
  </si>
  <si>
    <t>INV0106</t>
  </si>
  <si>
    <t>GST71767</t>
  </si>
  <si>
    <t>ORD0107</t>
  </si>
  <si>
    <t>INV0107</t>
  </si>
  <si>
    <t>GST24374</t>
  </si>
  <si>
    <t>ORD0108</t>
  </si>
  <si>
    <t>INV0108</t>
  </si>
  <si>
    <t>GST74631</t>
  </si>
  <si>
    <t>ORD0109</t>
  </si>
  <si>
    <t>INV0109</t>
  </si>
  <si>
    <t>GST41835</t>
  </si>
  <si>
    <t>57, Main Street</t>
  </si>
  <si>
    <t>ORD0110</t>
  </si>
  <si>
    <t>INV0110</t>
  </si>
  <si>
    <t>GST56607</t>
  </si>
  <si>
    <t>ORD0111</t>
  </si>
  <si>
    <t>INV0111</t>
  </si>
  <si>
    <t>GST23935</t>
  </si>
  <si>
    <t>ORD0112</t>
  </si>
  <si>
    <t>INV0112</t>
  </si>
  <si>
    <t>GST28122</t>
  </si>
  <si>
    <t>ORD0113</t>
  </si>
  <si>
    <t>INV0113</t>
  </si>
  <si>
    <t>GST24966</t>
  </si>
  <si>
    <t>ORD0114</t>
  </si>
  <si>
    <t>INV0114</t>
  </si>
  <si>
    <t>GST63309</t>
  </si>
  <si>
    <t>ORD0115</t>
  </si>
  <si>
    <t>INV0115</t>
  </si>
  <si>
    <t>GST19811</t>
  </si>
  <si>
    <t>ORD0116</t>
  </si>
  <si>
    <t>INV0116</t>
  </si>
  <si>
    <t>GST81168</t>
  </si>
  <si>
    <t>ORD0117</t>
  </si>
  <si>
    <t>INV0117</t>
  </si>
  <si>
    <t>GST14764</t>
  </si>
  <si>
    <t>ORD0118</t>
  </si>
  <si>
    <t>INV0118</t>
  </si>
  <si>
    <t>GST61426</t>
  </si>
  <si>
    <t>ORD0119</t>
  </si>
  <si>
    <t>INV0119</t>
  </si>
  <si>
    <t>GST14631</t>
  </si>
  <si>
    <t>22, Main Street</t>
  </si>
  <si>
    <t>ORD0120</t>
  </si>
  <si>
    <t>INV0120</t>
  </si>
  <si>
    <t>GST38387</t>
  </si>
  <si>
    <t>ORD0121</t>
  </si>
  <si>
    <t>INV0121</t>
  </si>
  <si>
    <t>GST39603</t>
  </si>
  <si>
    <t>ORD0122</t>
  </si>
  <si>
    <t>INV0122</t>
  </si>
  <si>
    <t>GST85259</t>
  </si>
  <si>
    <t>ORD0123</t>
  </si>
  <si>
    <t>INV0123</t>
  </si>
  <si>
    <t>GST33698</t>
  </si>
  <si>
    <t>ORD0124</t>
  </si>
  <si>
    <t>INV0124</t>
  </si>
  <si>
    <t>GST29189</t>
  </si>
  <si>
    <t>ORD0125</t>
  </si>
  <si>
    <t>INV0125</t>
  </si>
  <si>
    <t>GST15772</t>
  </si>
  <si>
    <t>66, Main Street</t>
  </si>
  <si>
    <t>ORD0126</t>
  </si>
  <si>
    <t>INV0126</t>
  </si>
  <si>
    <t>GST70059</t>
  </si>
  <si>
    <t>ORD0127</t>
  </si>
  <si>
    <t>INV0127</t>
  </si>
  <si>
    <t>GST94702</t>
  </si>
  <si>
    <t>82, Main Street</t>
  </si>
  <si>
    <t>ORD0128</t>
  </si>
  <si>
    <t>INV0128</t>
  </si>
  <si>
    <t>GST29518</t>
  </si>
  <si>
    <t>ORD0129</t>
  </si>
  <si>
    <t>INV0129</t>
  </si>
  <si>
    <t>GST57509</t>
  </si>
  <si>
    <t>ORD0130</t>
  </si>
  <si>
    <t>INV0130</t>
  </si>
  <si>
    <t>GST68864</t>
  </si>
  <si>
    <t>92, Main Street</t>
  </si>
  <si>
    <t>ORD0131</t>
  </si>
  <si>
    <t>INV0131</t>
  </si>
  <si>
    <t>GST52159</t>
  </si>
  <si>
    <t>ORD0132</t>
  </si>
  <si>
    <t>INV0132</t>
  </si>
  <si>
    <t>GST58650</t>
  </si>
  <si>
    <t>81, Main Street</t>
  </si>
  <si>
    <t>ORD0133</t>
  </si>
  <si>
    <t>INV0133</t>
  </si>
  <si>
    <t>GST24708</t>
  </si>
  <si>
    <t>ORD0134</t>
  </si>
  <si>
    <t>INV0134</t>
  </si>
  <si>
    <t>GST17644</t>
  </si>
  <si>
    <t>ORD0135</t>
  </si>
  <si>
    <t>INV0135</t>
  </si>
  <si>
    <t>GST20628</t>
  </si>
  <si>
    <t>ORD0136</t>
  </si>
  <si>
    <t>INV0136</t>
  </si>
  <si>
    <t>GST84287</t>
  </si>
  <si>
    <t>14, Main Street</t>
  </si>
  <si>
    <t>ORD0137</t>
  </si>
  <si>
    <t>INV0137</t>
  </si>
  <si>
    <t>GST73358</t>
  </si>
  <si>
    <t>ORD0138</t>
  </si>
  <si>
    <t>INV0138</t>
  </si>
  <si>
    <t>GST35966</t>
  </si>
  <si>
    <t>ORD0139</t>
  </si>
  <si>
    <t>INV0139</t>
  </si>
  <si>
    <t>GST98492</t>
  </si>
  <si>
    <t>ORD0140</t>
  </si>
  <si>
    <t>INV0140</t>
  </si>
  <si>
    <t>GST18902</t>
  </si>
  <si>
    <t>ORD0141</t>
  </si>
  <si>
    <t>INV0141</t>
  </si>
  <si>
    <t>GST32392</t>
  </si>
  <si>
    <t>48, Main Street</t>
  </si>
  <si>
    <t>ORD0142</t>
  </si>
  <si>
    <t>INV0142</t>
  </si>
  <si>
    <t>GST30727</t>
  </si>
  <si>
    <t>15, Main Street</t>
  </si>
  <si>
    <t>ORD0143</t>
  </si>
  <si>
    <t>INV0143</t>
  </si>
  <si>
    <t>GST71085</t>
  </si>
  <si>
    <t>1, Main Street</t>
  </si>
  <si>
    <t>ORD0144</t>
  </si>
  <si>
    <t>INV0144</t>
  </si>
  <si>
    <t>GST75863</t>
  </si>
  <si>
    <t>ORD0145</t>
  </si>
  <si>
    <t>INV0145</t>
  </si>
  <si>
    <t>GST69866</t>
  </si>
  <si>
    <t>ORD0146</t>
  </si>
  <si>
    <t>INV0146</t>
  </si>
  <si>
    <t>GST55066</t>
  </si>
  <si>
    <t>32, Main Street</t>
  </si>
  <si>
    <t>ORD0147</t>
  </si>
  <si>
    <t>INV0147</t>
  </si>
  <si>
    <t>GST25155</t>
  </si>
  <si>
    <t>77, Main Street</t>
  </si>
  <si>
    <t>ORD0148</t>
  </si>
  <si>
    <t>INV0148</t>
  </si>
  <si>
    <t>GST13422</t>
  </si>
  <si>
    <t>ORD0149</t>
  </si>
  <si>
    <t>INV0149</t>
  </si>
  <si>
    <t>GST40045</t>
  </si>
  <si>
    <t>ORD0150</t>
  </si>
  <si>
    <t>INV0150</t>
  </si>
  <si>
    <t>GST35401</t>
  </si>
  <si>
    <t>51, Main Street</t>
  </si>
  <si>
    <t>ORD0151</t>
  </si>
  <si>
    <t>INV0151</t>
  </si>
  <si>
    <t>GST15388</t>
  </si>
  <si>
    <t>ORD0152</t>
  </si>
  <si>
    <t>INV0152</t>
  </si>
  <si>
    <t>GST63754</t>
  </si>
  <si>
    <t>ORD0153</t>
  </si>
  <si>
    <t>INV0153</t>
  </si>
  <si>
    <t>GST88402</t>
  </si>
  <si>
    <t>ORD0154</t>
  </si>
  <si>
    <t>INV0154</t>
  </si>
  <si>
    <t>GST17320</t>
  </si>
  <si>
    <t>ORD0155</t>
  </si>
  <si>
    <t>INV0155</t>
  </si>
  <si>
    <t>GST38645</t>
  </si>
  <si>
    <t>ORD0156</t>
  </si>
  <si>
    <t>INV0156</t>
  </si>
  <si>
    <t>GST69013</t>
  </si>
  <si>
    <t>ORD0157</t>
  </si>
  <si>
    <t>INV0157</t>
  </si>
  <si>
    <t>GST80889</t>
  </si>
  <si>
    <t>9, Main Street</t>
  </si>
  <si>
    <t>ORD0158</t>
  </si>
  <si>
    <t>INV0158</t>
  </si>
  <si>
    <t>GST39520</t>
  </si>
  <si>
    <t>ORD0159</t>
  </si>
  <si>
    <t>INV0159</t>
  </si>
  <si>
    <t>GST62643</t>
  </si>
  <si>
    <t>36, Main Street</t>
  </si>
  <si>
    <t>ORD0160</t>
  </si>
  <si>
    <t>INV0160</t>
  </si>
  <si>
    <t>GST74021</t>
  </si>
  <si>
    <t>ORD0161</t>
  </si>
  <si>
    <t>INV0161</t>
  </si>
  <si>
    <t>GST75929</t>
  </si>
  <si>
    <t>ORD0162</t>
  </si>
  <si>
    <t>INV0162</t>
  </si>
  <si>
    <t>GST92848</t>
  </si>
  <si>
    <t>ORD0163</t>
  </si>
  <si>
    <t>INV0163</t>
  </si>
  <si>
    <t>GST96614</t>
  </si>
  <si>
    <t>ORD0164</t>
  </si>
  <si>
    <t>INV0164</t>
  </si>
  <si>
    <t>GST57237</t>
  </si>
  <si>
    <t>ORD0165</t>
  </si>
  <si>
    <t>INV0165</t>
  </si>
  <si>
    <t>GST39983</t>
  </si>
  <si>
    <t>ORD0166</t>
  </si>
  <si>
    <t>INV0166</t>
  </si>
  <si>
    <t>GST22838</t>
  </si>
  <si>
    <t>58, Main Street</t>
  </si>
  <si>
    <t>ORD0167</t>
  </si>
  <si>
    <t>INV0167</t>
  </si>
  <si>
    <t>GST11482</t>
  </si>
  <si>
    <t>ORD0168</t>
  </si>
  <si>
    <t>INV0168</t>
  </si>
  <si>
    <t>GST86645</t>
  </si>
  <si>
    <t>ORD0169</t>
  </si>
  <si>
    <t>INV0169</t>
  </si>
  <si>
    <t>GST42093</t>
  </si>
  <si>
    <t>ORD0170</t>
  </si>
  <si>
    <t>INV0170</t>
  </si>
  <si>
    <t>GST61853</t>
  </si>
  <si>
    <t>ORD0171</t>
  </si>
  <si>
    <t>INV0171</t>
  </si>
  <si>
    <t>GST62852</t>
  </si>
  <si>
    <t>ORD0172</t>
  </si>
  <si>
    <t>INV0172</t>
  </si>
  <si>
    <t>GST99963</t>
  </si>
  <si>
    <t>ORD0173</t>
  </si>
  <si>
    <t>INV0173</t>
  </si>
  <si>
    <t>GST59395</t>
  </si>
  <si>
    <t>ORD0174</t>
  </si>
  <si>
    <t>INV0174</t>
  </si>
  <si>
    <t>GST16421</t>
  </si>
  <si>
    <t>ORD0175</t>
  </si>
  <si>
    <t>INV0175</t>
  </si>
  <si>
    <t>GST54902</t>
  </si>
  <si>
    <t>ORD0176</t>
  </si>
  <si>
    <t>INV0176</t>
  </si>
  <si>
    <t>GST28757</t>
  </si>
  <si>
    <t>18, Main Street</t>
  </si>
  <si>
    <t>ORD0177</t>
  </si>
  <si>
    <t>INV0177</t>
  </si>
  <si>
    <t>GST84711</t>
  </si>
  <si>
    <t>ORD0178</t>
  </si>
  <si>
    <t>INV0178</t>
  </si>
  <si>
    <t>GST92021</t>
  </si>
  <si>
    <t>ORD0179</t>
  </si>
  <si>
    <t>INV0179</t>
  </si>
  <si>
    <t>GST70570</t>
  </si>
  <si>
    <t>ORD0180</t>
  </si>
  <si>
    <t>INV0180</t>
  </si>
  <si>
    <t>GST58060</t>
  </si>
  <si>
    <t>ORD0181</t>
  </si>
  <si>
    <t>INV0181</t>
  </si>
  <si>
    <t>GST69336</t>
  </si>
  <si>
    <t>ORD0182</t>
  </si>
  <si>
    <t>INV0182</t>
  </si>
  <si>
    <t>GST16759</t>
  </si>
  <si>
    <t>ORD0183</t>
  </si>
  <si>
    <t>INV0183</t>
  </si>
  <si>
    <t>GST59247</t>
  </si>
  <si>
    <t>ORD0184</t>
  </si>
  <si>
    <t>INV0184</t>
  </si>
  <si>
    <t>GST36811</t>
  </si>
  <si>
    <t>76, Main Street</t>
  </si>
  <si>
    <t>ORD0185</t>
  </si>
  <si>
    <t>INV0185</t>
  </si>
  <si>
    <t>GST92165</t>
  </si>
  <si>
    <t>ORD0186</t>
  </si>
  <si>
    <t>INV0186</t>
  </si>
  <si>
    <t>GST95460</t>
  </si>
  <si>
    <t>ORD0187</t>
  </si>
  <si>
    <t>INV0187</t>
  </si>
  <si>
    <t>GST96973</t>
  </si>
  <si>
    <t>ORD0188</t>
  </si>
  <si>
    <t>INV0188</t>
  </si>
  <si>
    <t>GST86190</t>
  </si>
  <si>
    <t>ORD0189</t>
  </si>
  <si>
    <t>INV0189</t>
  </si>
  <si>
    <t>GST84229</t>
  </si>
  <si>
    <t>ORD0190</t>
  </si>
  <si>
    <t>INV0190</t>
  </si>
  <si>
    <t>GST59118</t>
  </si>
  <si>
    <t>ORD0191</t>
  </si>
  <si>
    <t>INV0191</t>
  </si>
  <si>
    <t>GST30496</t>
  </si>
  <si>
    <t>ORD0192</t>
  </si>
  <si>
    <t>INV0192</t>
  </si>
  <si>
    <t>GST21658</t>
  </si>
  <si>
    <t>69, Main Street</t>
  </si>
  <si>
    <t>ORD0193</t>
  </si>
  <si>
    <t>INV0193</t>
  </si>
  <si>
    <t>GST39685</t>
  </si>
  <si>
    <t>ORD0194</t>
  </si>
  <si>
    <t>INV0194</t>
  </si>
  <si>
    <t>GST38099</t>
  </si>
  <si>
    <t>ORD0195</t>
  </si>
  <si>
    <t>INV0195</t>
  </si>
  <si>
    <t>GST26879</t>
  </si>
  <si>
    <t>ORD0196</t>
  </si>
  <si>
    <t>INV0196</t>
  </si>
  <si>
    <t>GST52926</t>
  </si>
  <si>
    <t>ORD0197</t>
  </si>
  <si>
    <t>INV0197</t>
  </si>
  <si>
    <t>GST66579</t>
  </si>
  <si>
    <t>ORD0198</t>
  </si>
  <si>
    <t>INV0198</t>
  </si>
  <si>
    <t>GST94536</t>
  </si>
  <si>
    <t>ORD0199</t>
  </si>
  <si>
    <t>INV0199</t>
  </si>
  <si>
    <t>GST29417</t>
  </si>
  <si>
    <t>ORD0200</t>
  </si>
  <si>
    <t>INV0200</t>
  </si>
  <si>
    <t>GST64998</t>
  </si>
  <si>
    <t>75, Main Street</t>
  </si>
  <si>
    <t>ORD0201</t>
  </si>
  <si>
    <t>INV0201</t>
  </si>
  <si>
    <t>GST47755</t>
  </si>
  <si>
    <t>50, Main Street</t>
  </si>
  <si>
    <t>ORD0202</t>
  </si>
  <si>
    <t>INV0202</t>
  </si>
  <si>
    <t>GST47332</t>
  </si>
  <si>
    <t>ORD0203</t>
  </si>
  <si>
    <t>INV0203</t>
  </si>
  <si>
    <t>GST12994</t>
  </si>
  <si>
    <t>ORD0204</t>
  </si>
  <si>
    <t>INV0204</t>
  </si>
  <si>
    <t>GST86946</t>
  </si>
  <si>
    <t>ORD0205</t>
  </si>
  <si>
    <t>INV0205</t>
  </si>
  <si>
    <t>GST41463</t>
  </si>
  <si>
    <t>88, Main Street</t>
  </si>
  <si>
    <t>ORD0206</t>
  </si>
  <si>
    <t>INV0206</t>
  </si>
  <si>
    <t>GST99125</t>
  </si>
  <si>
    <t>ORD0207</t>
  </si>
  <si>
    <t>INV0207</t>
  </si>
  <si>
    <t>GST18378</t>
  </si>
  <si>
    <t>ORD0208</t>
  </si>
  <si>
    <t>INV0208</t>
  </si>
  <si>
    <t>GST37839</t>
  </si>
  <si>
    <t>ORD0209</t>
  </si>
  <si>
    <t>INV0209</t>
  </si>
  <si>
    <t>GST44201</t>
  </si>
  <si>
    <t>98, Main Street</t>
  </si>
  <si>
    <t>ORD0210</t>
  </si>
  <si>
    <t>INV0210</t>
  </si>
  <si>
    <t>GST22109</t>
  </si>
  <si>
    <t>ORD0211</t>
  </si>
  <si>
    <t>INV0211</t>
  </si>
  <si>
    <t>GST59152</t>
  </si>
  <si>
    <t>ORD0212</t>
  </si>
  <si>
    <t>INV0212</t>
  </si>
  <si>
    <t>GST60374</t>
  </si>
  <si>
    <t>ORD0213</t>
  </si>
  <si>
    <t>INV0213</t>
  </si>
  <si>
    <t>GST79279</t>
  </si>
  <si>
    <t>ORD0214</t>
  </si>
  <si>
    <t>INV0214</t>
  </si>
  <si>
    <t>GST70628</t>
  </si>
  <si>
    <t>ORD0215</t>
  </si>
  <si>
    <t>INV0215</t>
  </si>
  <si>
    <t>GST48796</t>
  </si>
  <si>
    <t>ORD0216</t>
  </si>
  <si>
    <t>INV0216</t>
  </si>
  <si>
    <t>GST34026</t>
  </si>
  <si>
    <t>ORD0217</t>
  </si>
  <si>
    <t>INV0217</t>
  </si>
  <si>
    <t>GST41357</t>
  </si>
  <si>
    <t>60, Main Street</t>
  </si>
  <si>
    <t>ORD0218</t>
  </si>
  <si>
    <t>INV0218</t>
  </si>
  <si>
    <t>GST83344</t>
  </si>
  <si>
    <t>ORD0219</t>
  </si>
  <si>
    <t>INV0219</t>
  </si>
  <si>
    <t>GST24712</t>
  </si>
  <si>
    <t>ORD0220</t>
  </si>
  <si>
    <t>INV0220</t>
  </si>
  <si>
    <t>GST91529</t>
  </si>
  <si>
    <t>ORD0221</t>
  </si>
  <si>
    <t>INV0221</t>
  </si>
  <si>
    <t>GST13942</t>
  </si>
  <si>
    <t>ORD0222</t>
  </si>
  <si>
    <t>INV0222</t>
  </si>
  <si>
    <t>GST98987</t>
  </si>
  <si>
    <t>ORD0223</t>
  </si>
  <si>
    <t>INV0223</t>
  </si>
  <si>
    <t>GST34913</t>
  </si>
  <si>
    <t>ORD0224</t>
  </si>
  <si>
    <t>INV0224</t>
  </si>
  <si>
    <t>GST72095</t>
  </si>
  <si>
    <t>ORD0225</t>
  </si>
  <si>
    <t>INV0225</t>
  </si>
  <si>
    <t>GST67773</t>
  </si>
  <si>
    <t>63, Main Street</t>
  </si>
  <si>
    <t>ORD0226</t>
  </si>
  <si>
    <t>INV0226</t>
  </si>
  <si>
    <t>GST46233</t>
  </si>
  <si>
    <t>ORD0227</t>
  </si>
  <si>
    <t>INV0227</t>
  </si>
  <si>
    <t>GST49243</t>
  </si>
  <si>
    <t>42, Main Street</t>
  </si>
  <si>
    <t>ORD0228</t>
  </si>
  <si>
    <t>INV0228</t>
  </si>
  <si>
    <t>GST40992</t>
  </si>
  <si>
    <t>ORD0229</t>
  </si>
  <si>
    <t>INV0229</t>
  </si>
  <si>
    <t>GST26039</t>
  </si>
  <si>
    <t>ORD0230</t>
  </si>
  <si>
    <t>INV0230</t>
  </si>
  <si>
    <t>GST46132</t>
  </si>
  <si>
    <t>ORD0231</t>
  </si>
  <si>
    <t>INV0231</t>
  </si>
  <si>
    <t>GST27689</t>
  </si>
  <si>
    <t>ORD0232</t>
  </si>
  <si>
    <t>INV0232</t>
  </si>
  <si>
    <t>GST18614</t>
  </si>
  <si>
    <t>ORD0233</t>
  </si>
  <si>
    <t>INV0233</t>
  </si>
  <si>
    <t>GST26737</t>
  </si>
  <si>
    <t>ORD0234</t>
  </si>
  <si>
    <t>INV0234</t>
  </si>
  <si>
    <t>GST19871</t>
  </si>
  <si>
    <t>ORD0235</t>
  </si>
  <si>
    <t>INV0235</t>
  </si>
  <si>
    <t>GST59168</t>
  </si>
  <si>
    <t>ORD0236</t>
  </si>
  <si>
    <t>INV0236</t>
  </si>
  <si>
    <t>GST76759</t>
  </si>
  <si>
    <t>ORD0237</t>
  </si>
  <si>
    <t>INV0237</t>
  </si>
  <si>
    <t>GST98848</t>
  </si>
  <si>
    <t>ORD0238</t>
  </si>
  <si>
    <t>INV0238</t>
  </si>
  <si>
    <t>GST85183</t>
  </si>
  <si>
    <t>52, Main Street</t>
  </si>
  <si>
    <t>ORD0239</t>
  </si>
  <si>
    <t>INV0239</t>
  </si>
  <si>
    <t>GST73944</t>
  </si>
  <si>
    <t>ORD0240</t>
  </si>
  <si>
    <t>INV0240</t>
  </si>
  <si>
    <t>GST84483</t>
  </si>
  <si>
    <t>ORD0241</t>
  </si>
  <si>
    <t>INV0241</t>
  </si>
  <si>
    <t>GST77905</t>
  </si>
  <si>
    <t>ORD0242</t>
  </si>
  <si>
    <t>INV0242</t>
  </si>
  <si>
    <t>GST73398</t>
  </si>
  <si>
    <t>ORD0243</t>
  </si>
  <si>
    <t>INV0243</t>
  </si>
  <si>
    <t>GST38240</t>
  </si>
  <si>
    <t>ORD0244</t>
  </si>
  <si>
    <t>INV0244</t>
  </si>
  <si>
    <t>GST30482</t>
  </si>
  <si>
    <t>ORD0245</t>
  </si>
  <si>
    <t>INV0245</t>
  </si>
  <si>
    <t>GST19615</t>
  </si>
  <si>
    <t>ORD0246</t>
  </si>
  <si>
    <t>INV0246</t>
  </si>
  <si>
    <t>GST71472</t>
  </si>
  <si>
    <t>6, Main Street</t>
  </si>
  <si>
    <t>ORD0247</t>
  </si>
  <si>
    <t>INV0247</t>
  </si>
  <si>
    <t>GST84892</t>
  </si>
  <si>
    <t>ORD0248</t>
  </si>
  <si>
    <t>INV0248</t>
  </si>
  <si>
    <t>GST57095</t>
  </si>
  <si>
    <t>12, Main Street</t>
  </si>
  <si>
    <t>ORD0249</t>
  </si>
  <si>
    <t>INV0249</t>
  </si>
  <si>
    <t>GST89053</t>
  </si>
  <si>
    <t>ORD0250</t>
  </si>
  <si>
    <t>INV0250</t>
  </si>
  <si>
    <t>GST85790</t>
  </si>
  <si>
    <t>ORD0251</t>
  </si>
  <si>
    <t>INV0251</t>
  </si>
  <si>
    <t>GST66250</t>
  </si>
  <si>
    <t>ORD0252</t>
  </si>
  <si>
    <t>INV0252</t>
  </si>
  <si>
    <t>GST75172</t>
  </si>
  <si>
    <t>ORD0253</t>
  </si>
  <si>
    <t>INV0253</t>
  </si>
  <si>
    <t>GST74367</t>
  </si>
  <si>
    <t>ORD0254</t>
  </si>
  <si>
    <t>INV0254</t>
  </si>
  <si>
    <t>GST57915</t>
  </si>
  <si>
    <t>ORD0255</t>
  </si>
  <si>
    <t>INV0255</t>
  </si>
  <si>
    <t>GST81869</t>
  </si>
  <si>
    <t>ORD0256</t>
  </si>
  <si>
    <t>INV0256</t>
  </si>
  <si>
    <t>GST33014</t>
  </si>
  <si>
    <t>ORD0257</t>
  </si>
  <si>
    <t>INV0257</t>
  </si>
  <si>
    <t>GST93954</t>
  </si>
  <si>
    <t>ORD0258</t>
  </si>
  <si>
    <t>INV0258</t>
  </si>
  <si>
    <t>GST57597</t>
  </si>
  <si>
    <t>ORD0259</t>
  </si>
  <si>
    <t>INV0259</t>
  </si>
  <si>
    <t>GST94595</t>
  </si>
  <si>
    <t>ORD0260</t>
  </si>
  <si>
    <t>INV0260</t>
  </si>
  <si>
    <t>GST12773</t>
  </si>
  <si>
    <t>ORD0261</t>
  </si>
  <si>
    <t>INV0261</t>
  </si>
  <si>
    <t>GST90092</t>
  </si>
  <si>
    <t>ORD0262</t>
  </si>
  <si>
    <t>INV0262</t>
  </si>
  <si>
    <t>GST71278</t>
  </si>
  <si>
    <t>ORD0263</t>
  </si>
  <si>
    <t>INV0263</t>
  </si>
  <si>
    <t>GST49780</t>
  </si>
  <si>
    <t>ORD0264</t>
  </si>
  <si>
    <t>INV0264</t>
  </si>
  <si>
    <t>GST47324</t>
  </si>
  <si>
    <t>ORD0265</t>
  </si>
  <si>
    <t>INV0265</t>
  </si>
  <si>
    <t>GST62524</t>
  </si>
  <si>
    <t>34, Main Street</t>
  </si>
  <si>
    <t>ORD0266</t>
  </si>
  <si>
    <t>INV0266</t>
  </si>
  <si>
    <t>GST90358</t>
  </si>
  <si>
    <t>ORD0267</t>
  </si>
  <si>
    <t>INV0267</t>
  </si>
  <si>
    <t>GST84705</t>
  </si>
  <si>
    <t>ORD0268</t>
  </si>
  <si>
    <t>INV0268</t>
  </si>
  <si>
    <t>GST85750</t>
  </si>
  <si>
    <t>ORD0269</t>
  </si>
  <si>
    <t>INV0269</t>
  </si>
  <si>
    <t>GST51489</t>
  </si>
  <si>
    <t>ORD0270</t>
  </si>
  <si>
    <t>INV0270</t>
  </si>
  <si>
    <t>GST85118</t>
  </si>
  <si>
    <t>ORD0271</t>
  </si>
  <si>
    <t>INV0271</t>
  </si>
  <si>
    <t>GST20960</t>
  </si>
  <si>
    <t>ORD0272</t>
  </si>
  <si>
    <t>INV0272</t>
  </si>
  <si>
    <t>GST30853</t>
  </si>
  <si>
    <t>ORD0273</t>
  </si>
  <si>
    <t>INV0273</t>
  </si>
  <si>
    <t>GST72802</t>
  </si>
  <si>
    <t>ORD0274</t>
  </si>
  <si>
    <t>INV0274</t>
  </si>
  <si>
    <t>GST28776</t>
  </si>
  <si>
    <t>ORD0275</t>
  </si>
  <si>
    <t>INV0275</t>
  </si>
  <si>
    <t>GST31735</t>
  </si>
  <si>
    <t>ORD0276</t>
  </si>
  <si>
    <t>INV0276</t>
  </si>
  <si>
    <t>GST85630</t>
  </si>
  <si>
    <t>ORD0277</t>
  </si>
  <si>
    <t>INV0277</t>
  </si>
  <si>
    <t>GST19565</t>
  </si>
  <si>
    <t>ORD0278</t>
  </si>
  <si>
    <t>INV0278</t>
  </si>
  <si>
    <t>GST24648</t>
  </si>
  <si>
    <t>ORD0279</t>
  </si>
  <si>
    <t>INV0279</t>
  </si>
  <si>
    <t>GST80962</t>
  </si>
  <si>
    <t>33, Main Street</t>
  </si>
  <si>
    <t>ORD0280</t>
  </si>
  <si>
    <t>INV0280</t>
  </si>
  <si>
    <t>GST17174</t>
  </si>
  <si>
    <t>ORD0281</t>
  </si>
  <si>
    <t>INV0281</t>
  </si>
  <si>
    <t>GST64031</t>
  </si>
  <si>
    <t>ORD0282</t>
  </si>
  <si>
    <t>INV0282</t>
  </si>
  <si>
    <t>GST79155</t>
  </si>
  <si>
    <t>ORD0283</t>
  </si>
  <si>
    <t>INV0283</t>
  </si>
  <si>
    <t>GST65318</t>
  </si>
  <si>
    <t>ORD0284</t>
  </si>
  <si>
    <t>INV0284</t>
  </si>
  <si>
    <t>GST64340</t>
  </si>
  <si>
    <t>ORD0285</t>
  </si>
  <si>
    <t>INV0285</t>
  </si>
  <si>
    <t>GST52393</t>
  </si>
  <si>
    <t>ORD0286</t>
  </si>
  <si>
    <t>INV0286</t>
  </si>
  <si>
    <t>GST36560</t>
  </si>
  <si>
    <t>ORD0287</t>
  </si>
  <si>
    <t>INV0287</t>
  </si>
  <si>
    <t>GST81569</t>
  </si>
  <si>
    <t>ORD0288</t>
  </si>
  <si>
    <t>INV0288</t>
  </si>
  <si>
    <t>GST96617</t>
  </si>
  <si>
    <t>ORD0289</t>
  </si>
  <si>
    <t>INV0289</t>
  </si>
  <si>
    <t>GST69252</t>
  </si>
  <si>
    <t>ORD0290</t>
  </si>
  <si>
    <t>INV0290</t>
  </si>
  <si>
    <t>GST70362</t>
  </si>
  <si>
    <t>ORD0291</t>
  </si>
  <si>
    <t>INV0291</t>
  </si>
  <si>
    <t>GST93580</t>
  </si>
  <si>
    <t>ORD0292</t>
  </si>
  <si>
    <t>INV0292</t>
  </si>
  <si>
    <t>GST73097</t>
  </si>
  <si>
    <t>ORD0293</t>
  </si>
  <si>
    <t>INV0293</t>
  </si>
  <si>
    <t>GST82756</t>
  </si>
  <si>
    <t>ORD0294</t>
  </si>
  <si>
    <t>INV0294</t>
  </si>
  <si>
    <t>GST37067</t>
  </si>
  <si>
    <t>ORD0295</t>
  </si>
  <si>
    <t>INV0295</t>
  </si>
  <si>
    <t>GST76985</t>
  </si>
  <si>
    <t>ORD0296</t>
  </si>
  <si>
    <t>INV0296</t>
  </si>
  <si>
    <t>GST41166</t>
  </si>
  <si>
    <t>ORD0297</t>
  </si>
  <si>
    <t>INV0297</t>
  </si>
  <si>
    <t>GST57960</t>
  </si>
  <si>
    <t>ORD0298</t>
  </si>
  <si>
    <t>INV0298</t>
  </si>
  <si>
    <t>GST22239</t>
  </si>
  <si>
    <t>ORD0299</t>
  </si>
  <si>
    <t>INV0299</t>
  </si>
  <si>
    <t>GST72847</t>
  </si>
  <si>
    <t>ORD0300</t>
  </si>
  <si>
    <t>INV0300</t>
  </si>
  <si>
    <t>GST86838</t>
  </si>
  <si>
    <t>ORD0301</t>
  </si>
  <si>
    <t>INV0301</t>
  </si>
  <si>
    <t>GST17951</t>
  </si>
  <si>
    <t>ORD0302</t>
  </si>
  <si>
    <t>INV0302</t>
  </si>
  <si>
    <t>GST29999</t>
  </si>
  <si>
    <t>ORD0303</t>
  </si>
  <si>
    <t>INV0303</t>
  </si>
  <si>
    <t>GST26424</t>
  </si>
  <si>
    <t>ORD0304</t>
  </si>
  <si>
    <t>INV0304</t>
  </si>
  <si>
    <t>GST76547</t>
  </si>
  <si>
    <t>ORD0305</t>
  </si>
  <si>
    <t>INV0305</t>
  </si>
  <si>
    <t>GST95088</t>
  </si>
  <si>
    <t>ORD0306</t>
  </si>
  <si>
    <t>INV0306</t>
  </si>
  <si>
    <t>GST20910</t>
  </si>
  <si>
    <t>ORD0307</t>
  </si>
  <si>
    <t>INV0307</t>
  </si>
  <si>
    <t>GST25208</t>
  </si>
  <si>
    <t>ORD0308</t>
  </si>
  <si>
    <t>INV0308</t>
  </si>
  <si>
    <t>GST18857</t>
  </si>
  <si>
    <t>ORD0309</t>
  </si>
  <si>
    <t>INV0309</t>
  </si>
  <si>
    <t>GST56397</t>
  </si>
  <si>
    <t>ORD0310</t>
  </si>
  <si>
    <t>INV0310</t>
  </si>
  <si>
    <t>GST40125</t>
  </si>
  <si>
    <t>ORD0311</t>
  </si>
  <si>
    <t>INV0311</t>
  </si>
  <si>
    <t>GST35882</t>
  </si>
  <si>
    <t>ORD0312</t>
  </si>
  <si>
    <t>INV0312</t>
  </si>
  <si>
    <t>GST26692</t>
  </si>
  <si>
    <t>ORD0313</t>
  </si>
  <si>
    <t>INV0313</t>
  </si>
  <si>
    <t>GST27060</t>
  </si>
  <si>
    <t>ORD0314</t>
  </si>
  <si>
    <t>INV0314</t>
  </si>
  <si>
    <t>GST41034</t>
  </si>
  <si>
    <t>ORD0315</t>
  </si>
  <si>
    <t>INV0315</t>
  </si>
  <si>
    <t>GST98687</t>
  </si>
  <si>
    <t>ORD0316</t>
  </si>
  <si>
    <t>INV0316</t>
  </si>
  <si>
    <t>GST10480</t>
  </si>
  <si>
    <t>ORD0317</t>
  </si>
  <si>
    <t>INV0317</t>
  </si>
  <si>
    <t>GST68122</t>
  </si>
  <si>
    <t>ORD0318</t>
  </si>
  <si>
    <t>INV0318</t>
  </si>
  <si>
    <t>GST62316</t>
  </si>
  <si>
    <t>ORD0319</t>
  </si>
  <si>
    <t>INV0319</t>
  </si>
  <si>
    <t>GST96611</t>
  </si>
  <si>
    <t>ORD0320</t>
  </si>
  <si>
    <t>INV0320</t>
  </si>
  <si>
    <t>GST59227</t>
  </si>
  <si>
    <t>ORD0321</t>
  </si>
  <si>
    <t>INV0321</t>
  </si>
  <si>
    <t>GST63521</t>
  </si>
  <si>
    <t>ORD0322</t>
  </si>
  <si>
    <t>INV0322</t>
  </si>
  <si>
    <t>GST52608</t>
  </si>
  <si>
    <t>ORD0323</t>
  </si>
  <si>
    <t>INV0323</t>
  </si>
  <si>
    <t>GST70188</t>
  </si>
  <si>
    <t>99, Main Street</t>
  </si>
  <si>
    <t>ORD0324</t>
  </si>
  <si>
    <t>INV0324</t>
  </si>
  <si>
    <t>GST12304</t>
  </si>
  <si>
    <t>ORD0325</t>
  </si>
  <si>
    <t>INV0325</t>
  </si>
  <si>
    <t>GST95285</t>
  </si>
  <si>
    <t>62, Main Street</t>
  </si>
  <si>
    <t>ORD0326</t>
  </si>
  <si>
    <t>INV0326</t>
  </si>
  <si>
    <t>GST59643</t>
  </si>
  <si>
    <t>ORD0327</t>
  </si>
  <si>
    <t>INV0327</t>
  </si>
  <si>
    <t>GST46579</t>
  </si>
  <si>
    <t>ORD0328</t>
  </si>
  <si>
    <t>INV0328</t>
  </si>
  <si>
    <t>GST39951</t>
  </si>
  <si>
    <t>ORD0329</t>
  </si>
  <si>
    <t>INV0329</t>
  </si>
  <si>
    <t>GST28666</t>
  </si>
  <si>
    <t>ORD0330</t>
  </si>
  <si>
    <t>INV0330</t>
  </si>
  <si>
    <t>GST38738</t>
  </si>
  <si>
    <t>ORD0331</t>
  </si>
  <si>
    <t>INV0331</t>
  </si>
  <si>
    <t>GST34344</t>
  </si>
  <si>
    <t>ORD0332</t>
  </si>
  <si>
    <t>INV0332</t>
  </si>
  <si>
    <t>GST11294</t>
  </si>
  <si>
    <t>ORD0333</t>
  </si>
  <si>
    <t>INV0333</t>
  </si>
  <si>
    <t>GST17581</t>
  </si>
  <si>
    <t>ORD0334</t>
  </si>
  <si>
    <t>INV0334</t>
  </si>
  <si>
    <t>GST83118</t>
  </si>
  <si>
    <t>ORD0335</t>
  </si>
  <si>
    <t>INV0335</t>
  </si>
  <si>
    <t>GST31979</t>
  </si>
  <si>
    <t>ORD0336</t>
  </si>
  <si>
    <t>INV0336</t>
  </si>
  <si>
    <t>GST65451</t>
  </si>
  <si>
    <t>ORD0337</t>
  </si>
  <si>
    <t>INV0337</t>
  </si>
  <si>
    <t>GST65371</t>
  </si>
  <si>
    <t>ORD0338</t>
  </si>
  <si>
    <t>INV0338</t>
  </si>
  <si>
    <t>GST82966</t>
  </si>
  <si>
    <t>ORD0339</t>
  </si>
  <si>
    <t>INV0339</t>
  </si>
  <si>
    <t>GST63135</t>
  </si>
  <si>
    <t>ORD0340</t>
  </si>
  <si>
    <t>INV0340</t>
  </si>
  <si>
    <t>GST74960</t>
  </si>
  <si>
    <t>ORD0341</t>
  </si>
  <si>
    <t>INV0341</t>
  </si>
  <si>
    <t>GST98186</t>
  </si>
  <si>
    <t>ORD0342</t>
  </si>
  <si>
    <t>INV0342</t>
  </si>
  <si>
    <t>GST80547</t>
  </si>
  <si>
    <t>ORD0343</t>
  </si>
  <si>
    <t>INV0343</t>
  </si>
  <si>
    <t>GST14649</t>
  </si>
  <si>
    <t>ORD0344</t>
  </si>
  <si>
    <t>INV0344</t>
  </si>
  <si>
    <t>GST67585</t>
  </si>
  <si>
    <t>ORD0345</t>
  </si>
  <si>
    <t>INV0345</t>
  </si>
  <si>
    <t>GST77387</t>
  </si>
  <si>
    <t>ORD0346</t>
  </si>
  <si>
    <t>INV0346</t>
  </si>
  <si>
    <t>GST36709</t>
  </si>
  <si>
    <t>ORD0347</t>
  </si>
  <si>
    <t>INV0347</t>
  </si>
  <si>
    <t>GST10655</t>
  </si>
  <si>
    <t>ORD0348</t>
  </si>
  <si>
    <t>INV0348</t>
  </si>
  <si>
    <t>GST97268</t>
  </si>
  <si>
    <t>ORD0349</t>
  </si>
  <si>
    <t>INV0349</t>
  </si>
  <si>
    <t>GST78956</t>
  </si>
  <si>
    <t>ORD0350</t>
  </si>
  <si>
    <t>INV0350</t>
  </si>
  <si>
    <t>GST22693</t>
  </si>
  <si>
    <t>ORD0351</t>
  </si>
  <si>
    <t>INV0351</t>
  </si>
  <si>
    <t>GST56219</t>
  </si>
  <si>
    <t>ORD0352</t>
  </si>
  <si>
    <t>INV0352</t>
  </si>
  <si>
    <t>GST34763</t>
  </si>
  <si>
    <t>ORD0353</t>
  </si>
  <si>
    <t>INV0353</t>
  </si>
  <si>
    <t>GST74766</t>
  </si>
  <si>
    <t>ORD0354</t>
  </si>
  <si>
    <t>INV0354</t>
  </si>
  <si>
    <t>GST11305</t>
  </si>
  <si>
    <t>ORD0355</t>
  </si>
  <si>
    <t>INV0355</t>
  </si>
  <si>
    <t>GST31571</t>
  </si>
  <si>
    <t>ORD0356</t>
  </si>
  <si>
    <t>INV0356</t>
  </si>
  <si>
    <t>GST97174</t>
  </si>
  <si>
    <t>ORD0357</t>
  </si>
  <si>
    <t>INV0357</t>
  </si>
  <si>
    <t>GST66610</t>
  </si>
  <si>
    <t>ORD0358</t>
  </si>
  <si>
    <t>INV0358</t>
  </si>
  <si>
    <t>GST68750</t>
  </si>
  <si>
    <t>ORD0359</t>
  </si>
  <si>
    <t>INV0359</t>
  </si>
  <si>
    <t>GST70045</t>
  </si>
  <si>
    <t>ORD0360</t>
  </si>
  <si>
    <t>INV0360</t>
  </si>
  <si>
    <t>GST93459</t>
  </si>
  <si>
    <t>ORD0361</t>
  </si>
  <si>
    <t>INV0361</t>
  </si>
  <si>
    <t>GST98196</t>
  </si>
  <si>
    <t>ORD0362</t>
  </si>
  <si>
    <t>INV0362</t>
  </si>
  <si>
    <t>GST17420</t>
  </si>
  <si>
    <t>ORD0363</t>
  </si>
  <si>
    <t>INV0363</t>
  </si>
  <si>
    <t>GST15923</t>
  </si>
  <si>
    <t>ORD0364</t>
  </si>
  <si>
    <t>INV0364</t>
  </si>
  <si>
    <t>GST97578</t>
  </si>
  <si>
    <t>ORD0365</t>
  </si>
  <si>
    <t>INV0365</t>
  </si>
  <si>
    <t>GST20350</t>
  </si>
  <si>
    <t>ORD0366</t>
  </si>
  <si>
    <t>INV0366</t>
  </si>
  <si>
    <t>GST27948</t>
  </si>
  <si>
    <t>ORD0367</t>
  </si>
  <si>
    <t>INV0367</t>
  </si>
  <si>
    <t>GST40064</t>
  </si>
  <si>
    <t>ORD0368</t>
  </si>
  <si>
    <t>INV0368</t>
  </si>
  <si>
    <t>GST66997</t>
  </si>
  <si>
    <t>ORD0369</t>
  </si>
  <si>
    <t>INV0369</t>
  </si>
  <si>
    <t>GST85624</t>
  </si>
  <si>
    <t>ORD0370</t>
  </si>
  <si>
    <t>INV0370</t>
  </si>
  <si>
    <t>GST50221</t>
  </si>
  <si>
    <t>ORD0371</t>
  </si>
  <si>
    <t>INV0371</t>
  </si>
  <si>
    <t>GST58777</t>
  </si>
  <si>
    <t>ORD0372</t>
  </si>
  <si>
    <t>INV0372</t>
  </si>
  <si>
    <t>GST32570</t>
  </si>
  <si>
    <t>ORD0373</t>
  </si>
  <si>
    <t>INV0373</t>
  </si>
  <si>
    <t>GST60409</t>
  </si>
  <si>
    <t>ORD0374</t>
  </si>
  <si>
    <t>INV0374</t>
  </si>
  <si>
    <t>GST95578</t>
  </si>
  <si>
    <t>ORD0375</t>
  </si>
  <si>
    <t>INV0375</t>
  </si>
  <si>
    <t>GST83449</t>
  </si>
  <si>
    <t>ORD0376</t>
  </si>
  <si>
    <t>INV0376</t>
  </si>
  <si>
    <t>GST92924</t>
  </si>
  <si>
    <t>ORD0377</t>
  </si>
  <si>
    <t>INV0377</t>
  </si>
  <si>
    <t>GST16140</t>
  </si>
  <si>
    <t>ORD0378</t>
  </si>
  <si>
    <t>INV0378</t>
  </si>
  <si>
    <t>GST90438</t>
  </si>
  <si>
    <t>ORD0379</t>
  </si>
  <si>
    <t>INV0379</t>
  </si>
  <si>
    <t>GST17498</t>
  </si>
  <si>
    <t>ORD0380</t>
  </si>
  <si>
    <t>INV0380</t>
  </si>
  <si>
    <t>GST14658</t>
  </si>
  <si>
    <t>ORD0381</t>
  </si>
  <si>
    <t>INV0381</t>
  </si>
  <si>
    <t>GST10623</t>
  </si>
  <si>
    <t>ORD0382</t>
  </si>
  <si>
    <t>INV0382</t>
  </si>
  <si>
    <t>GST84430</t>
  </si>
  <si>
    <t>ORD0383</t>
  </si>
  <si>
    <t>INV0383</t>
  </si>
  <si>
    <t>GST24256</t>
  </si>
  <si>
    <t>ORD0384</t>
  </si>
  <si>
    <t>INV0384</t>
  </si>
  <si>
    <t>GST88554</t>
  </si>
  <si>
    <t>ORD0385</t>
  </si>
  <si>
    <t>INV0385</t>
  </si>
  <si>
    <t>GST49790</t>
  </si>
  <si>
    <t>ORD0386</t>
  </si>
  <si>
    <t>INV0386</t>
  </si>
  <si>
    <t>GST47260</t>
  </si>
  <si>
    <t>ORD0387</t>
  </si>
  <si>
    <t>INV0387</t>
  </si>
  <si>
    <t>GST27499</t>
  </si>
  <si>
    <t>ORD0388</t>
  </si>
  <si>
    <t>INV0388</t>
  </si>
  <si>
    <t>GST45465</t>
  </si>
  <si>
    <t>ORD0389</t>
  </si>
  <si>
    <t>INV0389</t>
  </si>
  <si>
    <t>GST71478</t>
  </si>
  <si>
    <t>ORD0390</t>
  </si>
  <si>
    <t>INV0390</t>
  </si>
  <si>
    <t>GST20163</t>
  </si>
  <si>
    <t>ORD0391</t>
  </si>
  <si>
    <t>INV0391</t>
  </si>
  <si>
    <t>GST90620</t>
  </si>
  <si>
    <t>ORD0392</t>
  </si>
  <si>
    <t>INV0392</t>
  </si>
  <si>
    <t>GST22410</t>
  </si>
  <si>
    <t>ORD0393</t>
  </si>
  <si>
    <t>INV0393</t>
  </si>
  <si>
    <t>GST33032</t>
  </si>
  <si>
    <t>ORD0394</t>
  </si>
  <si>
    <t>INV0394</t>
  </si>
  <si>
    <t>GST11300</t>
  </si>
  <si>
    <t>ORD0395</t>
  </si>
  <si>
    <t>INV0395</t>
  </si>
  <si>
    <t>GST29342</t>
  </si>
  <si>
    <t>ORD0396</t>
  </si>
  <si>
    <t>INV0396</t>
  </si>
  <si>
    <t>GST13488</t>
  </si>
  <si>
    <t>ORD0397</t>
  </si>
  <si>
    <t>INV0397</t>
  </si>
  <si>
    <t>GST16713</t>
  </si>
  <si>
    <t>ORD0398</t>
  </si>
  <si>
    <t>INV0398</t>
  </si>
  <si>
    <t>GST67091</t>
  </si>
  <si>
    <t>ORD0399</t>
  </si>
  <si>
    <t>INV0399</t>
  </si>
  <si>
    <t>GST98118</t>
  </si>
  <si>
    <t>ORD0400</t>
  </si>
  <si>
    <t>INV0400</t>
  </si>
  <si>
    <t>GST26853</t>
  </si>
  <si>
    <t>ORD0401</t>
  </si>
  <si>
    <t>INV0401</t>
  </si>
  <si>
    <t>GST10902</t>
  </si>
  <si>
    <t>ORD0402</t>
  </si>
  <si>
    <t>INV0402</t>
  </si>
  <si>
    <t>GST60624</t>
  </si>
  <si>
    <t>ORD0403</t>
  </si>
  <si>
    <t>INV0403</t>
  </si>
  <si>
    <t>GST71530</t>
  </si>
  <si>
    <t>ORD0404</t>
  </si>
  <si>
    <t>INV0404</t>
  </si>
  <si>
    <t>GST36845</t>
  </si>
  <si>
    <t>ORD0405</t>
  </si>
  <si>
    <t>INV0405</t>
  </si>
  <si>
    <t>GST29540</t>
  </si>
  <si>
    <t>ORD0406</t>
  </si>
  <si>
    <t>INV0406</t>
  </si>
  <si>
    <t>GST40189</t>
  </si>
  <si>
    <t>ORD0407</t>
  </si>
  <si>
    <t>INV0407</t>
  </si>
  <si>
    <t>GST41871</t>
  </si>
  <si>
    <t>ORD0408</t>
  </si>
  <si>
    <t>INV0408</t>
  </si>
  <si>
    <t>GST60668</t>
  </si>
  <si>
    <t>ORD0409</t>
  </si>
  <si>
    <t>INV0409</t>
  </si>
  <si>
    <t>GST89757</t>
  </si>
  <si>
    <t>ORD0410</t>
  </si>
  <si>
    <t>INV0410</t>
  </si>
  <si>
    <t>GST52463</t>
  </si>
  <si>
    <t>ORD0411</t>
  </si>
  <si>
    <t>INV0411</t>
  </si>
  <si>
    <t>GST83143</t>
  </si>
  <si>
    <t>ORD0412</t>
  </si>
  <si>
    <t>INV0412</t>
  </si>
  <si>
    <t>GST26266</t>
  </si>
  <si>
    <t>ORD0413</t>
  </si>
  <si>
    <t>INV0413</t>
  </si>
  <si>
    <t>GST92980</t>
  </si>
  <si>
    <t>ORD0414</t>
  </si>
  <si>
    <t>INV0414</t>
  </si>
  <si>
    <t>GST57928</t>
  </si>
  <si>
    <t>ORD0415</t>
  </si>
  <si>
    <t>INV0415</t>
  </si>
  <si>
    <t>GST50636</t>
  </si>
  <si>
    <t>ORD0416</t>
  </si>
  <si>
    <t>INV0416</t>
  </si>
  <si>
    <t>GST58579</t>
  </si>
  <si>
    <t>ORD0417</t>
  </si>
  <si>
    <t>INV0417</t>
  </si>
  <si>
    <t>GST95426</t>
  </si>
  <si>
    <t>ORD0418</t>
  </si>
  <si>
    <t>INV0418</t>
  </si>
  <si>
    <t>GST32017</t>
  </si>
  <si>
    <t>ORD0419</t>
  </si>
  <si>
    <t>INV0419</t>
  </si>
  <si>
    <t>GST43318</t>
  </si>
  <si>
    <t>ORD0420</t>
  </si>
  <si>
    <t>INV0420</t>
  </si>
  <si>
    <t>GST61433</t>
  </si>
  <si>
    <t>ORD0421</t>
  </si>
  <si>
    <t>INV0421</t>
  </si>
  <si>
    <t>GST41478</t>
  </si>
  <si>
    <t>ORD0422</t>
  </si>
  <si>
    <t>INV0422</t>
  </si>
  <si>
    <t>GST85273</t>
  </si>
  <si>
    <t>ORD0423</t>
  </si>
  <si>
    <t>INV0423</t>
  </si>
  <si>
    <t>GST50823</t>
  </si>
  <si>
    <t>ORD0424</t>
  </si>
  <si>
    <t>INV0424</t>
  </si>
  <si>
    <t>GST74132</t>
  </si>
  <si>
    <t>ORD0425</t>
  </si>
  <si>
    <t>INV0425</t>
  </si>
  <si>
    <t>GST40989</t>
  </si>
  <si>
    <t>ORD0426</t>
  </si>
  <si>
    <t>INV0426</t>
  </si>
  <si>
    <t>GST71867</t>
  </si>
  <si>
    <t>ORD0427</t>
  </si>
  <si>
    <t>INV0427</t>
  </si>
  <si>
    <t>GST59463</t>
  </si>
  <si>
    <t>ORD0428</t>
  </si>
  <si>
    <t>INV0428</t>
  </si>
  <si>
    <t>GST51250</t>
  </si>
  <si>
    <t>ORD0429</t>
  </si>
  <si>
    <t>INV0429</t>
  </si>
  <si>
    <t>GST38680</t>
  </si>
  <si>
    <t>ORD0430</t>
  </si>
  <si>
    <t>INV0430</t>
  </si>
  <si>
    <t>GST91824</t>
  </si>
  <si>
    <t>ORD0431</t>
  </si>
  <si>
    <t>INV0431</t>
  </si>
  <si>
    <t>GST96227</t>
  </si>
  <si>
    <t>ORD0432</t>
  </si>
  <si>
    <t>INV0432</t>
  </si>
  <si>
    <t>GST49287</t>
  </si>
  <si>
    <t>ORD0433</t>
  </si>
  <si>
    <t>INV0433</t>
  </si>
  <si>
    <t>GST74932</t>
  </si>
  <si>
    <t>ORD0434</t>
  </si>
  <si>
    <t>INV0434</t>
  </si>
  <si>
    <t>GST60588</t>
  </si>
  <si>
    <t>ORD0435</t>
  </si>
  <si>
    <t>INV0435</t>
  </si>
  <si>
    <t>GST58467</t>
  </si>
  <si>
    <t>ORD0436</t>
  </si>
  <si>
    <t>INV0436</t>
  </si>
  <si>
    <t>GST83085</t>
  </si>
  <si>
    <t>ORD0437</t>
  </si>
  <si>
    <t>INV0437</t>
  </si>
  <si>
    <t>GST70811</t>
  </si>
  <si>
    <t>ORD0438</t>
  </si>
  <si>
    <t>INV0438</t>
  </si>
  <si>
    <t>GST12871</t>
  </si>
  <si>
    <t>ORD0439</t>
  </si>
  <si>
    <t>INV0439</t>
  </si>
  <si>
    <t>GST71447</t>
  </si>
  <si>
    <t>ORD0440</t>
  </si>
  <si>
    <t>INV0440</t>
  </si>
  <si>
    <t>GST18172</t>
  </si>
  <si>
    <t>ORD0441</t>
  </si>
  <si>
    <t>INV0441</t>
  </si>
  <si>
    <t>GST86449</t>
  </si>
  <si>
    <t>ORD0442</t>
  </si>
  <si>
    <t>INV0442</t>
  </si>
  <si>
    <t>GST83831</t>
  </si>
  <si>
    <t>ORD0443</t>
  </si>
  <si>
    <t>INV0443</t>
  </si>
  <si>
    <t>GST10733</t>
  </si>
  <si>
    <t>ORD0444</t>
  </si>
  <si>
    <t>INV0444</t>
  </si>
  <si>
    <t>GST49391</t>
  </si>
  <si>
    <t>ORD0445</t>
  </si>
  <si>
    <t>INV0445</t>
  </si>
  <si>
    <t>GST78014</t>
  </si>
  <si>
    <t>ORD0446</t>
  </si>
  <si>
    <t>INV0446</t>
  </si>
  <si>
    <t>GST79189</t>
  </si>
  <si>
    <t>ORD0447</t>
  </si>
  <si>
    <t>INV0447</t>
  </si>
  <si>
    <t>GST18400</t>
  </si>
  <si>
    <t>ORD0448</t>
  </si>
  <si>
    <t>INV0448</t>
  </si>
  <si>
    <t>GST81959</t>
  </si>
  <si>
    <t>ORD0449</t>
  </si>
  <si>
    <t>INV0449</t>
  </si>
  <si>
    <t>GST74866</t>
  </si>
  <si>
    <t>ORD0450</t>
  </si>
  <si>
    <t>INV0450</t>
  </si>
  <si>
    <t>GST85184</t>
  </si>
  <si>
    <t>ORD0451</t>
  </si>
  <si>
    <t>INV0451</t>
  </si>
  <si>
    <t>GST66105</t>
  </si>
  <si>
    <t>ORD0452</t>
  </si>
  <si>
    <t>INV0452</t>
  </si>
  <si>
    <t>GST16608</t>
  </si>
  <si>
    <t>ORD0453</t>
  </si>
  <si>
    <t>INV0453</t>
  </si>
  <si>
    <t>GST58455</t>
  </si>
  <si>
    <t>93, Main Street</t>
  </si>
  <si>
    <t>ORD0454</t>
  </si>
  <si>
    <t>INV0454</t>
  </si>
  <si>
    <t>GST91969</t>
  </si>
  <si>
    <t>ORD0455</t>
  </si>
  <si>
    <t>INV0455</t>
  </si>
  <si>
    <t>GST67451</t>
  </si>
  <si>
    <t>ORD0456</t>
  </si>
  <si>
    <t>INV0456</t>
  </si>
  <si>
    <t>GST26186</t>
  </si>
  <si>
    <t>ORD0457</t>
  </si>
  <si>
    <t>INV0457</t>
  </si>
  <si>
    <t>GST69385</t>
  </si>
  <si>
    <t>ORD0458</t>
  </si>
  <si>
    <t>INV0458</t>
  </si>
  <si>
    <t>GST53959</t>
  </si>
  <si>
    <t>ORD0459</t>
  </si>
  <si>
    <t>INV0459</t>
  </si>
  <si>
    <t>GST12436</t>
  </si>
  <si>
    <t>ORD0460</t>
  </si>
  <si>
    <t>INV0460</t>
  </si>
  <si>
    <t>GST87002</t>
  </si>
  <si>
    <t>ORD0461</t>
  </si>
  <si>
    <t>INV0461</t>
  </si>
  <si>
    <t>GST89722</t>
  </si>
  <si>
    <t>ORD0462</t>
  </si>
  <si>
    <t>INV0462</t>
  </si>
  <si>
    <t>GST48628</t>
  </si>
  <si>
    <t>ORD0463</t>
  </si>
  <si>
    <t>INV0463</t>
  </si>
  <si>
    <t>GST38986</t>
  </si>
  <si>
    <t>ORD0464</t>
  </si>
  <si>
    <t>INV0464</t>
  </si>
  <si>
    <t>GST46801</t>
  </si>
  <si>
    <t>ORD0465</t>
  </si>
  <si>
    <t>INV0465</t>
  </si>
  <si>
    <t>GST53177</t>
  </si>
  <si>
    <t>ORD0466</t>
  </si>
  <si>
    <t>INV0466</t>
  </si>
  <si>
    <t>GST43425</t>
  </si>
  <si>
    <t>ORD0467</t>
  </si>
  <si>
    <t>INV0467</t>
  </si>
  <si>
    <t>GST54303</t>
  </si>
  <si>
    <t>ORD0468</t>
  </si>
  <si>
    <t>INV0468</t>
  </si>
  <si>
    <t>GST43560</t>
  </si>
  <si>
    <t>ORD0469</t>
  </si>
  <si>
    <t>INV0469</t>
  </si>
  <si>
    <t>GST44273</t>
  </si>
  <si>
    <t>ORD0470</t>
  </si>
  <si>
    <t>INV0470</t>
  </si>
  <si>
    <t>GST92868</t>
  </si>
  <si>
    <t>ORD0471</t>
  </si>
  <si>
    <t>INV0471</t>
  </si>
  <si>
    <t>GST55517</t>
  </si>
  <si>
    <t>ORD0472</t>
  </si>
  <si>
    <t>INV0472</t>
  </si>
  <si>
    <t>GST60784</t>
  </si>
  <si>
    <t>ORD0473</t>
  </si>
  <si>
    <t>INV0473</t>
  </si>
  <si>
    <t>GST72700</t>
  </si>
  <si>
    <t>ORD0474</t>
  </si>
  <si>
    <t>INV0474</t>
  </si>
  <si>
    <t>GST76040</t>
  </si>
  <si>
    <t>ORD0475</t>
  </si>
  <si>
    <t>INV0475</t>
  </si>
  <si>
    <t>GST13605</t>
  </si>
  <si>
    <t>ORD0476</t>
  </si>
  <si>
    <t>INV0476</t>
  </si>
  <si>
    <t>GST75531</t>
  </si>
  <si>
    <t>ORD0477</t>
  </si>
  <si>
    <t>INV0477</t>
  </si>
  <si>
    <t>GST56327</t>
  </si>
  <si>
    <t>ORD0478</t>
  </si>
  <si>
    <t>INV0478</t>
  </si>
  <si>
    <t>GST87121</t>
  </si>
  <si>
    <t>ORD0479</t>
  </si>
  <si>
    <t>INV0479</t>
  </si>
  <si>
    <t>GST19858</t>
  </si>
  <si>
    <t>ORD0480</t>
  </si>
  <si>
    <t>INV0480</t>
  </si>
  <si>
    <t>GST41709</t>
  </si>
  <si>
    <t>ORD0481</t>
  </si>
  <si>
    <t>INV0481</t>
  </si>
  <si>
    <t>GST32642</t>
  </si>
  <si>
    <t>ORD0482</t>
  </si>
  <si>
    <t>INV0482</t>
  </si>
  <si>
    <t>GST29263</t>
  </si>
  <si>
    <t>ORD0483</t>
  </si>
  <si>
    <t>INV0483</t>
  </si>
  <si>
    <t>GST26999</t>
  </si>
  <si>
    <t>ORD0484</t>
  </si>
  <si>
    <t>INV0484</t>
  </si>
  <si>
    <t>GST54820</t>
  </si>
  <si>
    <t>ORD0485</t>
  </si>
  <si>
    <t>INV0485</t>
  </si>
  <si>
    <t>GST72068</t>
  </si>
  <si>
    <t>ORD0486</t>
  </si>
  <si>
    <t>INV0486</t>
  </si>
  <si>
    <t>GST96589</t>
  </si>
  <si>
    <t>ORD0487</t>
  </si>
  <si>
    <t>INV0487</t>
  </si>
  <si>
    <t>GST45230</t>
  </si>
  <si>
    <t>ORD0488</t>
  </si>
  <si>
    <t>INV0488</t>
  </si>
  <si>
    <t>GST31612</t>
  </si>
  <si>
    <t>ORD0489</t>
  </si>
  <si>
    <t>INV0489</t>
  </si>
  <si>
    <t>GST24419</t>
  </si>
  <si>
    <t>ORD0490</t>
  </si>
  <si>
    <t>INV0490</t>
  </si>
  <si>
    <t>GST83146</t>
  </si>
  <si>
    <t>ORD0491</t>
  </si>
  <si>
    <t>INV0491</t>
  </si>
  <si>
    <t>GST56618</t>
  </si>
  <si>
    <t>ORD0492</t>
  </si>
  <si>
    <t>INV0492</t>
  </si>
  <si>
    <t>GST71063</t>
  </si>
  <si>
    <t>ORD0493</t>
  </si>
  <si>
    <t>INV0493</t>
  </si>
  <si>
    <t>GST76350</t>
  </si>
  <si>
    <t>ORD0494</t>
  </si>
  <si>
    <t>INV0494</t>
  </si>
  <si>
    <t>GST80211</t>
  </si>
  <si>
    <t>ORD0495</t>
  </si>
  <si>
    <t>INV0495</t>
  </si>
  <si>
    <t>GST99526</t>
  </si>
  <si>
    <t>ORD0496</t>
  </si>
  <si>
    <t>INV0496</t>
  </si>
  <si>
    <t>GST74009</t>
  </si>
  <si>
    <t>ORD0497</t>
  </si>
  <si>
    <t>INV0497</t>
  </si>
  <si>
    <t>GST63450</t>
  </si>
  <si>
    <t>ORD0498</t>
  </si>
  <si>
    <t>INV0498</t>
  </si>
  <si>
    <t>GST79370</t>
  </si>
  <si>
    <t>ORD0499</t>
  </si>
  <si>
    <t>INV0499</t>
  </si>
  <si>
    <t>GST78612</t>
  </si>
  <si>
    <t>ORD0500</t>
  </si>
  <si>
    <t>INV0500</t>
  </si>
  <si>
    <t>GST45274</t>
  </si>
  <si>
    <t>Row Labels</t>
  </si>
  <si>
    <t>Grand Total</t>
  </si>
  <si>
    <t>Column Labels</t>
  </si>
  <si>
    <t>Months</t>
  </si>
  <si>
    <t xml:space="preserve"> Invoice Amount</t>
  </si>
  <si>
    <t xml:space="preserve">Receivable </t>
  </si>
  <si>
    <t xml:space="preserve"> Receipts</t>
  </si>
  <si>
    <t xml:space="preserve">Receipts </t>
  </si>
  <si>
    <t xml:space="preserve">Invoice Amount </t>
  </si>
  <si>
    <t xml:space="preserve"> Receivable</t>
  </si>
  <si>
    <t>Count of Invoice Number</t>
  </si>
  <si>
    <t>Quaterly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</si>
</sst>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quot;₹&quot;\ #,##0.00"/>
  </numFmts>
  <fonts count="11">
    <font>
      <sz val="11"/>
      <color theme="1"/>
      <name val="Calibri"/>
      <family val="2"/>
      <scheme val="minor"/>
    </font>
    <font>
      <b/>
      <sz val="20"/>
      <color rgb="FFFFFFFF"/>
      <name val="Aptos Display"/>
    </font>
    <font>
      <i/>
      <sz val="10"/>
      <color rgb="FF667788"/>
      <name val="Calibri"/>
    </font>
    <font>
      <b/>
      <sz val="9"/>
      <color rgb="FFFFFFFF"/>
      <name val="Calibri"/>
    </font>
    <font>
      <b/>
      <sz val="18"/>
      <color rgb="FF17365D"/>
      <name val="Calibri"/>
    </font>
    <font>
      <b/>
      <sz val="10"/>
      <color rgb="FFFFFFFF"/>
      <name val="Calibri"/>
    </font>
    <font>
      <b/>
      <sz val="11"/>
      <color rgb="FF17365D"/>
      <name val="Calibri"/>
    </font>
    <font>
      <i/>
      <sz val="9"/>
      <color rgb="FF667788"/>
      <name val="Calibri"/>
    </font>
    <font>
      <b/>
      <sz val="11"/>
      <color rgb="FFFFFFFF"/>
      <name val="Calibri"/>
    </font>
    <font>
      <b/>
      <sz val="11"/>
      <color theme="1"/>
      <name val="Calibri"/>
      <family val="2"/>
      <scheme val="minor"/>
    </font>
    <font>
      <b/>
      <sz val="10"/>
      <color rgb="FFFFFFFF"/>
      <name val="Calibri"/>
      <family val="2"/>
    </font>
  </fonts>
  <fills count="10">
    <fill>
      <patternFill patternType="none"/>
    </fill>
    <fill>
      <patternFill patternType="gray125"/>
    </fill>
    <fill>
      <patternFill patternType="solid">
        <fgColor rgb="FF17365D"/>
      </patternFill>
    </fill>
    <fill>
      <patternFill patternType="solid">
        <fgColor rgb="FF1F4E78"/>
      </patternFill>
    </fill>
    <fill>
      <patternFill patternType="solid">
        <fgColor rgb="FFF3F7FA"/>
      </patternFill>
    </fill>
    <fill>
      <patternFill patternType="solid">
        <fgColor rgb="FF0F6B78"/>
      </patternFill>
    </fill>
    <fill>
      <patternFill patternType="solid">
        <fgColor rgb="FFC0504D"/>
      </patternFill>
    </fill>
    <fill>
      <patternFill patternType="solid">
        <fgColor rgb="FF70AD47"/>
      </patternFill>
    </fill>
    <fill>
      <patternFill patternType="solid">
        <fgColor rgb="FFD9EAF7"/>
      </patternFill>
    </fill>
    <fill>
      <patternFill patternType="solid">
        <fgColor theme="3" tint="0.79998168889431442"/>
        <bgColor indexed="64"/>
      </patternFill>
    </fill>
  </fills>
  <borders count="3">
    <border>
      <left/>
      <right/>
      <top/>
      <bottom/>
      <diagonal/>
    </border>
    <border>
      <left style="thin">
        <color rgb="FFD9E2F3"/>
      </left>
      <right style="thin">
        <color rgb="FFD9E2F3"/>
      </right>
      <top style="thin">
        <color rgb="FFD9E2F3"/>
      </top>
      <bottom style="thin">
        <color rgb="FFD9E2F3"/>
      </bottom>
      <diagonal/>
    </border>
    <border>
      <left/>
      <right/>
      <top/>
      <bottom style="thin">
        <color rgb="FFD9E2F3"/>
      </bottom>
      <diagonal/>
    </border>
  </borders>
  <cellStyleXfs count="1">
    <xf numFmtId="0" fontId="0" fillId="0" borderId="0"/>
  </cellStyleXfs>
  <cellXfs count="31">
    <xf numFmtId="0" fontId="0" fillId="0" borderId="0" xfId="0"/>
    <xf numFmtId="0" fontId="6" fillId="8" borderId="0" xfId="0" applyFont="1" applyFill="1" applyAlignment="1">
      <alignment horizontal="center"/>
    </xf>
    <xf numFmtId="0" fontId="0" fillId="0" borderId="2" xfId="0" applyBorder="1"/>
    <xf numFmtId="164" fontId="0" fillId="0" borderId="2" xfId="0" applyNumberFormat="1" applyBorder="1"/>
    <xf numFmtId="0" fontId="6" fillId="8" borderId="0" xfId="0" applyFont="1" applyFill="1"/>
    <xf numFmtId="0" fontId="6" fillId="0" borderId="0" xfId="0" applyFont="1"/>
    <xf numFmtId="0" fontId="8" fillId="2" borderId="0" xfId="0" applyFont="1" applyFill="1" applyAlignment="1">
      <alignment vertical="center" wrapText="1"/>
    </xf>
    <xf numFmtId="164" fontId="4" fillId="4" borderId="1" xfId="0" applyNumberFormat="1" applyFont="1" applyFill="1" applyBorder="1" applyAlignment="1">
      <alignment horizontal="center" vertical="center"/>
    </xf>
    <xf numFmtId="0" fontId="0" fillId="0" borderId="1" xfId="0" applyBorder="1"/>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165" fontId="4" fillId="4"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1" fillId="2" borderId="0" xfId="0" applyFont="1" applyFill="1" applyAlignment="1">
      <alignment horizontal="left" vertical="center"/>
    </xf>
    <xf numFmtId="0" fontId="0" fillId="0" borderId="0" xfId="0"/>
    <xf numFmtId="3" fontId="4" fillId="4" borderId="1" xfId="0" applyNumberFormat="1" applyFont="1" applyFill="1" applyBorder="1" applyAlignment="1">
      <alignment horizontal="center" vertical="center"/>
    </xf>
    <xf numFmtId="0" fontId="5" fillId="3" borderId="0" xfId="0" applyFont="1" applyFill="1" applyAlignment="1">
      <alignment horizontal="left"/>
    </xf>
    <xf numFmtId="0" fontId="2" fillId="0" borderId="0" xfId="0" applyFont="1" applyAlignment="1">
      <alignment vertical="center"/>
    </xf>
    <xf numFmtId="0" fontId="3" fillId="7" borderId="1" xfId="0" applyFont="1" applyFill="1" applyBorder="1" applyAlignment="1">
      <alignment horizontal="center" vertical="center"/>
    </xf>
    <xf numFmtId="0" fontId="7" fillId="0" borderId="0" xfId="0" applyFont="1" applyAlignment="1">
      <alignment wrapText="1"/>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9" borderId="0" xfId="0" applyFill="1" applyAlignment="1">
      <alignment horizontal="center"/>
    </xf>
    <xf numFmtId="166" fontId="0" fillId="0" borderId="0" xfId="0" applyNumberFormat="1"/>
    <xf numFmtId="0" fontId="10" fillId="3" borderId="0" xfId="0" applyFont="1" applyFill="1" applyAlignment="1">
      <alignment horizontal="left"/>
    </xf>
    <xf numFmtId="0" fontId="9" fillId="9" borderId="0" xfId="0" applyFont="1" applyFill="1" applyAlignment="1">
      <alignment horizontal="center"/>
    </xf>
    <xf numFmtId="0" fontId="0" fillId="0" borderId="0" xfId="0" pivotButton="1" applyAlignment="1">
      <alignment horizontal="left"/>
    </xf>
    <xf numFmtId="166" fontId="0" fillId="0" borderId="0" xfId="0" applyNumberFormat="1" applyAlignment="1">
      <alignment horizontal="left"/>
    </xf>
    <xf numFmtId="0" fontId="0" fillId="9" borderId="0" xfId="0" applyFill="1"/>
  </cellXfs>
  <cellStyles count="1">
    <cellStyle name="Normal" xfId="0" builtinId="0"/>
  </cellStyles>
  <dxfs count="52">
    <dxf>
      <numFmt numFmtId="166" formatCode="&quot;₹&quot;\ #,##0.00"/>
    </dxf>
    <dxf>
      <alignment horizontal="left"/>
    </dxf>
    <dxf>
      <alignment horizontal="left"/>
    </dxf>
    <dxf>
      <alignment horizontal="left"/>
    </dxf>
    <dxf>
      <alignment horizontal="left"/>
    </dxf>
    <dxf>
      <alignment horizontal="left"/>
    </dxf>
    <dxf>
      <alignment horizontal="left"/>
    </dxf>
    <dxf>
      <numFmt numFmtId="166" formatCode="&quot;₹&quot;\ #,##0.00"/>
    </dxf>
    <dxf>
      <alignment horizontal="left"/>
    </dxf>
    <dxf>
      <alignment horizontal="left"/>
    </dxf>
    <dxf>
      <alignment horizontal="left"/>
    </dxf>
    <dxf>
      <alignment horizontal="left"/>
    </dxf>
    <dxf>
      <alignment horizontal="left"/>
    </dxf>
    <dxf>
      <alignment horizontal="left"/>
    </dxf>
    <dxf>
      <numFmt numFmtId="166" formatCode="&quot;₹&quot;\ #,##0.00"/>
    </dxf>
    <dxf>
      <alignment horizontal="left"/>
    </dxf>
    <dxf>
      <alignment horizontal="left"/>
    </dxf>
    <dxf>
      <alignment horizontal="left"/>
    </dxf>
    <dxf>
      <alignment horizontal="left"/>
    </dxf>
    <dxf>
      <alignment horizontal="left"/>
    </dxf>
    <dxf>
      <alignment horizontal="left"/>
    </dxf>
    <dxf>
      <numFmt numFmtId="166" formatCode="&quot;₹&quot;\ #,##0.00"/>
    </dxf>
    <dxf>
      <alignment horizontal="left"/>
    </dxf>
    <dxf>
      <alignment horizontal="left"/>
    </dxf>
    <dxf>
      <alignment horizontal="left"/>
    </dxf>
    <dxf>
      <alignment horizontal="left"/>
    </dxf>
    <dxf>
      <alignment horizontal="left"/>
    </dxf>
    <dxf>
      <alignment horizontal="left"/>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numFmt numFmtId="166" formatCode="&quot;₹&quot;\ #,##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6" formatCode="&quot;₹&quot;\ #,##0.00"/>
    </dxf>
    <dxf>
      <numFmt numFmtId="166" formatCode="&quot;₹&quot;\ #,##0.00"/>
    </dxf>
    <dxf>
      <numFmt numFmtId="166"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[Sales_Receivables_Dashboard.xlsx]Sheet1!PivotTable3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72919010123734"/>
          <c:y val="3.0345412624526908E-2"/>
          <c:w val="0.41613920134983129"/>
          <c:h val="0.59250097881411234"/>
        </c:manualLayout>
      </c:layout>
      <c:barChart>
        <c:barDir val="col"/>
        <c:grouping val="stacked"/>
        <c:varyColors val="0"/>
        <c:ser>
          <c:idx val="0"/>
          <c:order val="0"/>
          <c:tx>
            <c:strRef>
              <c:f>Sheet1!$B$9</c:f>
              <c:strCache>
                <c:ptCount val="1"/>
                <c:pt idx="0">
                  <c:v> Invoice Amount</c:v>
                </c:pt>
              </c:strCache>
            </c:strRef>
          </c:tx>
          <c:spPr>
            <a:solidFill>
              <a:schemeClr val="accent1"/>
            </a:solidFill>
            <a:ln>
              <a:noFill/>
            </a:ln>
            <a:effectLst/>
          </c:spPr>
          <c:invertIfNegative val="0"/>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Sheet1!$B$10:$B$22</c:f>
              <c:numCache>
                <c:formatCode>"₹"\ #,##0.00</c:formatCode>
                <c:ptCount val="12"/>
                <c:pt idx="0">
                  <c:v>1112738</c:v>
                </c:pt>
                <c:pt idx="1">
                  <c:v>983356</c:v>
                </c:pt>
                <c:pt idx="2">
                  <c:v>988396</c:v>
                </c:pt>
                <c:pt idx="3">
                  <c:v>1824432</c:v>
                </c:pt>
                <c:pt idx="4">
                  <c:v>1239278</c:v>
                </c:pt>
                <c:pt idx="5">
                  <c:v>1053260</c:v>
                </c:pt>
                <c:pt idx="6">
                  <c:v>1166050</c:v>
                </c:pt>
                <c:pt idx="7">
                  <c:v>1007842</c:v>
                </c:pt>
                <c:pt idx="8">
                  <c:v>1417617</c:v>
                </c:pt>
                <c:pt idx="9">
                  <c:v>1046608</c:v>
                </c:pt>
                <c:pt idx="10">
                  <c:v>1368142</c:v>
                </c:pt>
                <c:pt idx="11">
                  <c:v>808258</c:v>
                </c:pt>
              </c:numCache>
            </c:numRef>
          </c:val>
          <c:extLst>
            <c:ext xmlns:c16="http://schemas.microsoft.com/office/drawing/2014/chart" uri="{C3380CC4-5D6E-409C-BE32-E72D297353CC}">
              <c16:uniqueId val="{00000000-4F0B-418C-B59F-C9AFF74B861B}"/>
            </c:ext>
          </c:extLst>
        </c:ser>
        <c:ser>
          <c:idx val="1"/>
          <c:order val="1"/>
          <c:tx>
            <c:strRef>
              <c:f>Sheet1!$C$9</c:f>
              <c:strCache>
                <c:ptCount val="1"/>
                <c:pt idx="0">
                  <c:v>Receivable </c:v>
                </c:pt>
              </c:strCache>
            </c:strRef>
          </c:tx>
          <c:spPr>
            <a:solidFill>
              <a:schemeClr val="accent2"/>
            </a:solidFill>
            <a:ln>
              <a:noFill/>
            </a:ln>
            <a:effectLst/>
          </c:spPr>
          <c:invertIfNegative val="0"/>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Sheet1!$C$10:$C$22</c:f>
              <c:numCache>
                <c:formatCode>"₹"\ #,##0.00</c:formatCode>
                <c:ptCount val="12"/>
                <c:pt idx="0">
                  <c:v>434160</c:v>
                </c:pt>
                <c:pt idx="1">
                  <c:v>453862</c:v>
                </c:pt>
                <c:pt idx="2">
                  <c:v>488348</c:v>
                </c:pt>
                <c:pt idx="3">
                  <c:v>946909</c:v>
                </c:pt>
                <c:pt idx="4">
                  <c:v>529727</c:v>
                </c:pt>
                <c:pt idx="5">
                  <c:v>533386</c:v>
                </c:pt>
                <c:pt idx="6">
                  <c:v>475958</c:v>
                </c:pt>
                <c:pt idx="7">
                  <c:v>466000</c:v>
                </c:pt>
                <c:pt idx="8">
                  <c:v>746555</c:v>
                </c:pt>
                <c:pt idx="9">
                  <c:v>450671</c:v>
                </c:pt>
                <c:pt idx="10">
                  <c:v>730837</c:v>
                </c:pt>
                <c:pt idx="11">
                  <c:v>363424</c:v>
                </c:pt>
              </c:numCache>
            </c:numRef>
          </c:val>
          <c:extLst>
            <c:ext xmlns:c16="http://schemas.microsoft.com/office/drawing/2014/chart" uri="{C3380CC4-5D6E-409C-BE32-E72D297353CC}">
              <c16:uniqueId val="{00000001-4F0B-418C-B59F-C9AFF74B861B}"/>
            </c:ext>
          </c:extLst>
        </c:ser>
        <c:ser>
          <c:idx val="2"/>
          <c:order val="2"/>
          <c:tx>
            <c:strRef>
              <c:f>Sheet1!$D$9</c:f>
              <c:strCache>
                <c:ptCount val="1"/>
                <c:pt idx="0">
                  <c:v> Receipts</c:v>
                </c:pt>
              </c:strCache>
            </c:strRef>
          </c:tx>
          <c:spPr>
            <a:solidFill>
              <a:schemeClr val="accent3"/>
            </a:solidFill>
            <a:ln>
              <a:noFill/>
            </a:ln>
            <a:effectLst/>
          </c:spPr>
          <c:invertIfNegative val="0"/>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Sheet1!$D$10:$D$22</c:f>
              <c:numCache>
                <c:formatCode>"₹"\ #,##0.00</c:formatCode>
                <c:ptCount val="12"/>
                <c:pt idx="0">
                  <c:v>678578</c:v>
                </c:pt>
                <c:pt idx="1">
                  <c:v>529494</c:v>
                </c:pt>
                <c:pt idx="2">
                  <c:v>500048</c:v>
                </c:pt>
                <c:pt idx="3">
                  <c:v>877523</c:v>
                </c:pt>
                <c:pt idx="4">
                  <c:v>709551</c:v>
                </c:pt>
                <c:pt idx="5">
                  <c:v>519874</c:v>
                </c:pt>
                <c:pt idx="6">
                  <c:v>690092</c:v>
                </c:pt>
                <c:pt idx="7">
                  <c:v>541842</c:v>
                </c:pt>
                <c:pt idx="8">
                  <c:v>671062</c:v>
                </c:pt>
                <c:pt idx="9">
                  <c:v>595937</c:v>
                </c:pt>
                <c:pt idx="10">
                  <c:v>637305</c:v>
                </c:pt>
                <c:pt idx="11">
                  <c:v>444834</c:v>
                </c:pt>
              </c:numCache>
            </c:numRef>
          </c:val>
          <c:extLst>
            <c:ext xmlns:c16="http://schemas.microsoft.com/office/drawing/2014/chart" uri="{C3380CC4-5D6E-409C-BE32-E72D297353CC}">
              <c16:uniqueId val="{00000002-4F0B-418C-B59F-C9AFF74B861B}"/>
            </c:ext>
          </c:extLst>
        </c:ser>
        <c:dLbls>
          <c:showLegendKey val="0"/>
          <c:showVal val="0"/>
          <c:showCatName val="0"/>
          <c:showSerName val="0"/>
          <c:showPercent val="0"/>
          <c:showBubbleSize val="0"/>
        </c:dLbls>
        <c:gapWidth val="219"/>
        <c:overlap val="100"/>
        <c:axId val="1983040559"/>
        <c:axId val="1983039727"/>
      </c:barChart>
      <c:catAx>
        <c:axId val="198304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39727"/>
        <c:crosses val="autoZero"/>
        <c:auto val="1"/>
        <c:lblAlgn val="ctr"/>
        <c:lblOffset val="100"/>
        <c:noMultiLvlLbl val="0"/>
      </c:catAx>
      <c:valAx>
        <c:axId val="1983039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40559"/>
        <c:crosses val="autoZero"/>
        <c:crossBetween val="between"/>
      </c:valAx>
      <c:spPr>
        <a:noFill/>
        <a:ln>
          <a:noFill/>
        </a:ln>
        <a:effectLst/>
      </c:spPr>
    </c:plotArea>
    <c:legend>
      <c:legendPos val="r"/>
      <c:layout>
        <c:manualLayout>
          <c:xMode val="edge"/>
          <c:yMode val="edge"/>
          <c:x val="0.69915410573678272"/>
          <c:y val="0.51338408665767599"/>
          <c:w val="0.25804719043850355"/>
          <c:h val="0.27217932435864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[Sales_Receivables_Dashboard.xlsx]Sheet1!PivotTable7</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Sheet1!$M$17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Sheet1!$L$18:$L$20</c:f>
              <c:strCache>
                <c:ptCount val="2"/>
                <c:pt idx="0">
                  <c:v>Pending</c:v>
                </c:pt>
                <c:pt idx="1">
                  <c:v>Received</c:v>
                </c:pt>
              </c:strCache>
            </c:strRef>
          </c:cat>
          <c:val>
            <c:numRef>
              <c:f>Sheet1!$M$18:$M$20</c:f>
              <c:numCache>
                <c:formatCode>General</c:formatCode>
                <c:ptCount val="2"/>
                <c:pt idx="0">
                  <c:v>475</c:v>
                </c:pt>
                <c:pt idx="1">
                  <c:v>25</c:v>
                </c:pt>
              </c:numCache>
            </c:numRef>
          </c:val>
          <c:extLst>
            <c:ext xmlns:c16="http://schemas.microsoft.com/office/drawing/2014/chart" uri="{C3380CC4-5D6E-409C-BE32-E72D297353CC}">
              <c16:uniqueId val="{00000000-81BA-4238-9E61-7FD571D1BA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[Sales_Receivables_Dashboard.xlsx]Sheet1!PivotTable5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947483022021352"/>
          <c:y val="0.16564596092155148"/>
          <c:w val="0.3545032543577793"/>
          <c:h val="0.75010279965004378"/>
        </c:manualLayout>
      </c:layout>
      <c:bar3DChart>
        <c:barDir val="bar"/>
        <c:grouping val="clustered"/>
        <c:varyColors val="0"/>
        <c:ser>
          <c:idx val="0"/>
          <c:order val="0"/>
          <c:tx>
            <c:strRef>
              <c:f>Sheet1!$L$8</c:f>
              <c:strCache>
                <c:ptCount val="1"/>
                <c:pt idx="0">
                  <c:v>Invoice Amount </c:v>
                </c:pt>
              </c:strCache>
            </c:strRef>
          </c:tx>
          <c:spPr>
            <a:solidFill>
              <a:schemeClr val="accent1"/>
            </a:solidFill>
            <a:ln>
              <a:noFill/>
            </a:ln>
            <a:effectLst/>
            <a:sp3d/>
          </c:spPr>
          <c:invertIfNegative val="0"/>
          <c:cat>
            <c:strRef>
              <c:f>Sheet1!$K$9:$K$14</c:f>
              <c:strCache>
                <c:ptCount val="5"/>
                <c:pt idx="0">
                  <c:v>Laptop</c:v>
                </c:pt>
                <c:pt idx="1">
                  <c:v>Mobile</c:v>
                </c:pt>
                <c:pt idx="2">
                  <c:v>Monitor</c:v>
                </c:pt>
                <c:pt idx="3">
                  <c:v>Printer</c:v>
                </c:pt>
                <c:pt idx="4">
                  <c:v>Tablet</c:v>
                </c:pt>
              </c:strCache>
            </c:strRef>
          </c:cat>
          <c:val>
            <c:numRef>
              <c:f>Sheet1!$L$9:$L$14</c:f>
              <c:numCache>
                <c:formatCode>"₹"\ #,##0.00</c:formatCode>
                <c:ptCount val="5"/>
                <c:pt idx="0">
                  <c:v>1238617</c:v>
                </c:pt>
                <c:pt idx="1">
                  <c:v>695602</c:v>
                </c:pt>
                <c:pt idx="2">
                  <c:v>785643</c:v>
                </c:pt>
                <c:pt idx="3">
                  <c:v>1062926</c:v>
                </c:pt>
                <c:pt idx="4">
                  <c:v>1114622</c:v>
                </c:pt>
              </c:numCache>
            </c:numRef>
          </c:val>
          <c:extLst>
            <c:ext xmlns:c16="http://schemas.microsoft.com/office/drawing/2014/chart" uri="{C3380CC4-5D6E-409C-BE32-E72D297353CC}">
              <c16:uniqueId val="{00000000-A296-4FEE-8149-7B9F9EF74017}"/>
            </c:ext>
          </c:extLst>
        </c:ser>
        <c:ser>
          <c:idx val="1"/>
          <c:order val="1"/>
          <c:tx>
            <c:strRef>
              <c:f>Sheet1!$M$8</c:f>
              <c:strCache>
                <c:ptCount val="1"/>
                <c:pt idx="0">
                  <c:v>Receipts </c:v>
                </c:pt>
              </c:strCache>
            </c:strRef>
          </c:tx>
          <c:spPr>
            <a:solidFill>
              <a:schemeClr val="accent2"/>
            </a:solidFill>
            <a:ln>
              <a:noFill/>
            </a:ln>
            <a:effectLst/>
            <a:sp3d/>
          </c:spPr>
          <c:invertIfNegative val="0"/>
          <c:cat>
            <c:strRef>
              <c:f>Sheet1!$K$9:$K$14</c:f>
              <c:strCache>
                <c:ptCount val="5"/>
                <c:pt idx="0">
                  <c:v>Laptop</c:v>
                </c:pt>
                <c:pt idx="1">
                  <c:v>Mobile</c:v>
                </c:pt>
                <c:pt idx="2">
                  <c:v>Monitor</c:v>
                </c:pt>
                <c:pt idx="3">
                  <c:v>Printer</c:v>
                </c:pt>
                <c:pt idx="4">
                  <c:v>Tablet</c:v>
                </c:pt>
              </c:strCache>
            </c:strRef>
          </c:cat>
          <c:val>
            <c:numRef>
              <c:f>Sheet1!$M$9:$M$14</c:f>
              <c:numCache>
                <c:formatCode>"₹"\ #,##0.00</c:formatCode>
                <c:ptCount val="5"/>
                <c:pt idx="0">
                  <c:v>601018</c:v>
                </c:pt>
                <c:pt idx="1">
                  <c:v>360711</c:v>
                </c:pt>
                <c:pt idx="2">
                  <c:v>478674</c:v>
                </c:pt>
                <c:pt idx="3">
                  <c:v>569172</c:v>
                </c:pt>
                <c:pt idx="4">
                  <c:v>570185</c:v>
                </c:pt>
              </c:numCache>
            </c:numRef>
          </c:val>
          <c:extLst>
            <c:ext xmlns:c16="http://schemas.microsoft.com/office/drawing/2014/chart" uri="{C3380CC4-5D6E-409C-BE32-E72D297353CC}">
              <c16:uniqueId val="{00000001-A296-4FEE-8149-7B9F9EF74017}"/>
            </c:ext>
          </c:extLst>
        </c:ser>
        <c:ser>
          <c:idx val="2"/>
          <c:order val="2"/>
          <c:tx>
            <c:strRef>
              <c:f>Sheet1!$N$8</c:f>
              <c:strCache>
                <c:ptCount val="1"/>
                <c:pt idx="0">
                  <c:v>Receivable </c:v>
                </c:pt>
              </c:strCache>
            </c:strRef>
          </c:tx>
          <c:spPr>
            <a:solidFill>
              <a:schemeClr val="accent3"/>
            </a:solidFill>
            <a:ln>
              <a:noFill/>
            </a:ln>
            <a:effectLst/>
            <a:sp3d/>
          </c:spPr>
          <c:invertIfNegative val="0"/>
          <c:cat>
            <c:strRef>
              <c:f>Sheet1!$K$9:$K$14</c:f>
              <c:strCache>
                <c:ptCount val="5"/>
                <c:pt idx="0">
                  <c:v>Laptop</c:v>
                </c:pt>
                <c:pt idx="1">
                  <c:v>Mobile</c:v>
                </c:pt>
                <c:pt idx="2">
                  <c:v>Monitor</c:v>
                </c:pt>
                <c:pt idx="3">
                  <c:v>Printer</c:v>
                </c:pt>
                <c:pt idx="4">
                  <c:v>Tablet</c:v>
                </c:pt>
              </c:strCache>
            </c:strRef>
          </c:cat>
          <c:val>
            <c:numRef>
              <c:f>Sheet1!$N$9:$N$14</c:f>
              <c:numCache>
                <c:formatCode>"₹"\ #,##0.00</c:formatCode>
                <c:ptCount val="5"/>
                <c:pt idx="0">
                  <c:v>637599</c:v>
                </c:pt>
                <c:pt idx="1">
                  <c:v>334891</c:v>
                </c:pt>
                <c:pt idx="2">
                  <c:v>306969</c:v>
                </c:pt>
                <c:pt idx="3">
                  <c:v>493754</c:v>
                </c:pt>
                <c:pt idx="4">
                  <c:v>544437</c:v>
                </c:pt>
              </c:numCache>
            </c:numRef>
          </c:val>
          <c:extLst>
            <c:ext xmlns:c16="http://schemas.microsoft.com/office/drawing/2014/chart" uri="{C3380CC4-5D6E-409C-BE32-E72D297353CC}">
              <c16:uniqueId val="{00000002-A296-4FEE-8149-7B9F9EF74017}"/>
            </c:ext>
          </c:extLst>
        </c:ser>
        <c:dLbls>
          <c:showLegendKey val="0"/>
          <c:showVal val="0"/>
          <c:showCatName val="0"/>
          <c:showSerName val="0"/>
          <c:showPercent val="0"/>
          <c:showBubbleSize val="0"/>
        </c:dLbls>
        <c:gapWidth val="150"/>
        <c:shape val="box"/>
        <c:axId val="1850473359"/>
        <c:axId val="1850467535"/>
        <c:axId val="0"/>
      </c:bar3DChart>
      <c:catAx>
        <c:axId val="185047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67535"/>
        <c:crosses val="autoZero"/>
        <c:auto val="1"/>
        <c:lblAlgn val="ctr"/>
        <c:lblOffset val="100"/>
        <c:noMultiLvlLbl val="0"/>
      </c:catAx>
      <c:valAx>
        <c:axId val="18504675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[Sales_Receivables_Dashboard.xlsx]Sheet1!PivotTable6</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Sheet1!$H$17</c:f>
              <c:strCache>
                <c:ptCount val="1"/>
                <c:pt idx="0">
                  <c:v>Invoice Amount </c:v>
                </c:pt>
              </c:strCache>
            </c:strRef>
          </c:tx>
          <c:spPr>
            <a:ln w="28575" cap="rnd">
              <a:solidFill>
                <a:schemeClr val="accent1"/>
              </a:solidFill>
              <a:round/>
            </a:ln>
            <a:effectLst/>
          </c:spPr>
          <c:marker>
            <c:symbol val="none"/>
          </c:marker>
          <c:cat>
            <c:strRef>
              <c:f>Sheet1!$G$18:$G$23</c:f>
              <c:strCache>
                <c:ptCount val="5"/>
                <c:pt idx="0">
                  <c:v>Amit</c:v>
                </c:pt>
                <c:pt idx="1">
                  <c:v>Neha</c:v>
                </c:pt>
                <c:pt idx="2">
                  <c:v>Raj</c:v>
                </c:pt>
                <c:pt idx="3">
                  <c:v>Sneha</c:v>
                </c:pt>
                <c:pt idx="4">
                  <c:v>Vikas</c:v>
                </c:pt>
              </c:strCache>
            </c:strRef>
          </c:cat>
          <c:val>
            <c:numRef>
              <c:f>Sheet1!$H$18:$H$23</c:f>
              <c:numCache>
                <c:formatCode>"₹"\ #,##0.00</c:formatCode>
                <c:ptCount val="5"/>
                <c:pt idx="0">
                  <c:v>3537905</c:v>
                </c:pt>
                <c:pt idx="1">
                  <c:v>2799412</c:v>
                </c:pt>
                <c:pt idx="2">
                  <c:v>2611417</c:v>
                </c:pt>
                <c:pt idx="3">
                  <c:v>2555708</c:v>
                </c:pt>
                <c:pt idx="4">
                  <c:v>2511535</c:v>
                </c:pt>
              </c:numCache>
            </c:numRef>
          </c:val>
          <c:smooth val="0"/>
          <c:extLst>
            <c:ext xmlns:c16="http://schemas.microsoft.com/office/drawing/2014/chart" uri="{C3380CC4-5D6E-409C-BE32-E72D297353CC}">
              <c16:uniqueId val="{00000000-AF0C-400F-8835-E673D1FDE623}"/>
            </c:ext>
          </c:extLst>
        </c:ser>
        <c:ser>
          <c:idx val="1"/>
          <c:order val="1"/>
          <c:tx>
            <c:strRef>
              <c:f>Sheet1!$I$17</c:f>
              <c:strCache>
                <c:ptCount val="1"/>
                <c:pt idx="0">
                  <c:v> Receipts</c:v>
                </c:pt>
              </c:strCache>
            </c:strRef>
          </c:tx>
          <c:spPr>
            <a:ln w="28575" cap="rnd">
              <a:solidFill>
                <a:schemeClr val="accent2"/>
              </a:solidFill>
              <a:round/>
            </a:ln>
            <a:effectLst/>
          </c:spPr>
          <c:marker>
            <c:symbol val="none"/>
          </c:marker>
          <c:cat>
            <c:strRef>
              <c:f>Sheet1!$G$18:$G$23</c:f>
              <c:strCache>
                <c:ptCount val="5"/>
                <c:pt idx="0">
                  <c:v>Amit</c:v>
                </c:pt>
                <c:pt idx="1">
                  <c:v>Neha</c:v>
                </c:pt>
                <c:pt idx="2">
                  <c:v>Raj</c:v>
                </c:pt>
                <c:pt idx="3">
                  <c:v>Sneha</c:v>
                </c:pt>
                <c:pt idx="4">
                  <c:v>Vikas</c:v>
                </c:pt>
              </c:strCache>
            </c:strRef>
          </c:cat>
          <c:val>
            <c:numRef>
              <c:f>Sheet1!$I$18:$I$23</c:f>
              <c:numCache>
                <c:formatCode>"₹"\ #,##0.00</c:formatCode>
                <c:ptCount val="5"/>
                <c:pt idx="0">
                  <c:v>1937753</c:v>
                </c:pt>
                <c:pt idx="1">
                  <c:v>1520772</c:v>
                </c:pt>
                <c:pt idx="2">
                  <c:v>1270235</c:v>
                </c:pt>
                <c:pt idx="3">
                  <c:v>1296894</c:v>
                </c:pt>
                <c:pt idx="4">
                  <c:v>1370486</c:v>
                </c:pt>
              </c:numCache>
            </c:numRef>
          </c:val>
          <c:smooth val="0"/>
          <c:extLst>
            <c:ext xmlns:c16="http://schemas.microsoft.com/office/drawing/2014/chart" uri="{C3380CC4-5D6E-409C-BE32-E72D297353CC}">
              <c16:uniqueId val="{00000001-AF0C-400F-8835-E673D1FDE623}"/>
            </c:ext>
          </c:extLst>
        </c:ser>
        <c:ser>
          <c:idx val="2"/>
          <c:order val="2"/>
          <c:tx>
            <c:strRef>
              <c:f>Sheet1!$J$17</c:f>
              <c:strCache>
                <c:ptCount val="1"/>
                <c:pt idx="0">
                  <c:v> Receivable</c:v>
                </c:pt>
              </c:strCache>
            </c:strRef>
          </c:tx>
          <c:spPr>
            <a:ln w="28575" cap="rnd">
              <a:solidFill>
                <a:schemeClr val="accent3"/>
              </a:solidFill>
              <a:round/>
            </a:ln>
            <a:effectLst/>
          </c:spPr>
          <c:marker>
            <c:symbol val="none"/>
          </c:marker>
          <c:cat>
            <c:strRef>
              <c:f>Sheet1!$G$18:$G$23</c:f>
              <c:strCache>
                <c:ptCount val="5"/>
                <c:pt idx="0">
                  <c:v>Amit</c:v>
                </c:pt>
                <c:pt idx="1">
                  <c:v>Neha</c:v>
                </c:pt>
                <c:pt idx="2">
                  <c:v>Raj</c:v>
                </c:pt>
                <c:pt idx="3">
                  <c:v>Sneha</c:v>
                </c:pt>
                <c:pt idx="4">
                  <c:v>Vikas</c:v>
                </c:pt>
              </c:strCache>
            </c:strRef>
          </c:cat>
          <c:val>
            <c:numRef>
              <c:f>Sheet1!$J$18:$J$23</c:f>
              <c:numCache>
                <c:formatCode>"₹"\ #,##0.00</c:formatCode>
                <c:ptCount val="5"/>
                <c:pt idx="0">
                  <c:v>1600152</c:v>
                </c:pt>
                <c:pt idx="1">
                  <c:v>1278640</c:v>
                </c:pt>
                <c:pt idx="2">
                  <c:v>1341182</c:v>
                </c:pt>
                <c:pt idx="3">
                  <c:v>1258814</c:v>
                </c:pt>
                <c:pt idx="4">
                  <c:v>1141049</c:v>
                </c:pt>
              </c:numCache>
            </c:numRef>
          </c:val>
          <c:smooth val="0"/>
          <c:extLst>
            <c:ext xmlns:c16="http://schemas.microsoft.com/office/drawing/2014/chart" uri="{C3380CC4-5D6E-409C-BE32-E72D297353CC}">
              <c16:uniqueId val="{00000002-AF0C-400F-8835-E673D1FDE623}"/>
            </c:ext>
          </c:extLst>
        </c:ser>
        <c:dLbls>
          <c:showLegendKey val="0"/>
          <c:showVal val="0"/>
          <c:showCatName val="0"/>
          <c:showSerName val="0"/>
          <c:showPercent val="0"/>
          <c:showBubbleSize val="0"/>
        </c:dLbls>
        <c:smooth val="0"/>
        <c:axId val="425356815"/>
        <c:axId val="425351823"/>
      </c:lineChart>
      <c:catAx>
        <c:axId val="42535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51823"/>
        <c:crosses val="autoZero"/>
        <c:auto val="1"/>
        <c:lblAlgn val="ctr"/>
        <c:lblOffset val="100"/>
        <c:noMultiLvlLbl val="0"/>
      </c:catAx>
      <c:valAx>
        <c:axId val="425351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5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Monthly Sales vs Receipts</a:t>
            </a:r>
          </a:p>
        </c:rich>
      </c:tx>
      <c:overlay val="1"/>
    </c:title>
    <c:autoTitleDeleted val="0"/>
    <c:plotArea>
      <c:layout/>
      <c:barChart>
        <c:barDir val="col"/>
        <c:grouping val="clustered"/>
        <c:varyColors val="1"/>
        <c:ser>
          <c:idx val="0"/>
          <c:order val="0"/>
          <c:tx>
            <c:strRef>
              <c:f>Dashboard!$C$11</c:f>
              <c:strCache>
                <c:ptCount val="1"/>
                <c:pt idx="0">
                  <c:v>Invoice Amount</c:v>
                </c:pt>
              </c:strCache>
            </c:strRef>
          </c:tx>
          <c:spPr>
            <a:ln>
              <a:prstDash val="solid"/>
            </a:ln>
          </c:spPr>
          <c:invertIfNegative val="1"/>
          <c:cat>
            <c:strRef>
              <c:f>Dashboard!$B$12:$B$23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Dashboard!$C$12:$C$23</c:f>
              <c:numCache>
                <c:formatCode>\₹#,##0</c:formatCode>
                <c:ptCount val="12"/>
                <c:pt idx="0">
                  <c:v>1112738</c:v>
                </c:pt>
                <c:pt idx="1">
                  <c:v>983356</c:v>
                </c:pt>
                <c:pt idx="2">
                  <c:v>988396</c:v>
                </c:pt>
                <c:pt idx="3">
                  <c:v>1824432</c:v>
                </c:pt>
                <c:pt idx="4">
                  <c:v>1239278</c:v>
                </c:pt>
                <c:pt idx="5">
                  <c:v>1053260</c:v>
                </c:pt>
                <c:pt idx="6">
                  <c:v>1166050</c:v>
                </c:pt>
                <c:pt idx="7">
                  <c:v>1007842</c:v>
                </c:pt>
                <c:pt idx="8">
                  <c:v>1417617</c:v>
                </c:pt>
                <c:pt idx="9">
                  <c:v>1046608</c:v>
                </c:pt>
                <c:pt idx="10">
                  <c:v>1368142</c:v>
                </c:pt>
                <c:pt idx="11">
                  <c:v>808258</c:v>
                </c:pt>
              </c:numCache>
            </c:numRef>
          </c:val>
          <c:extLst>
            <c:ext xmlns:c16="http://schemas.microsoft.com/office/drawing/2014/chart" uri="{C3380CC4-5D6E-409C-BE32-E72D297353CC}">
              <c16:uniqueId val="{00000000-8FD7-4146-9616-9CE517757804}"/>
            </c:ext>
          </c:extLst>
        </c:ser>
        <c:ser>
          <c:idx val="1"/>
          <c:order val="1"/>
          <c:tx>
            <c:strRef>
              <c:f>Dashboard!$D$11</c:f>
              <c:strCache>
                <c:ptCount val="1"/>
                <c:pt idx="0">
                  <c:v>Receipts</c:v>
                </c:pt>
              </c:strCache>
            </c:strRef>
          </c:tx>
          <c:spPr>
            <a:ln>
              <a:prstDash val="solid"/>
            </a:ln>
          </c:spPr>
          <c:invertIfNegative val="1"/>
          <c:cat>
            <c:strRef>
              <c:f>Dashboard!$B$12:$B$23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Dashboard!$D$12:$D$23</c:f>
              <c:numCache>
                <c:formatCode>\₹#,##0</c:formatCode>
                <c:ptCount val="12"/>
                <c:pt idx="0">
                  <c:v>678578</c:v>
                </c:pt>
                <c:pt idx="1">
                  <c:v>529494</c:v>
                </c:pt>
                <c:pt idx="2">
                  <c:v>500048</c:v>
                </c:pt>
                <c:pt idx="3">
                  <c:v>877523</c:v>
                </c:pt>
                <c:pt idx="4">
                  <c:v>709551</c:v>
                </c:pt>
                <c:pt idx="5">
                  <c:v>519874</c:v>
                </c:pt>
                <c:pt idx="6">
                  <c:v>690092</c:v>
                </c:pt>
                <c:pt idx="7">
                  <c:v>541842</c:v>
                </c:pt>
                <c:pt idx="8">
                  <c:v>671062</c:v>
                </c:pt>
                <c:pt idx="9">
                  <c:v>595937</c:v>
                </c:pt>
                <c:pt idx="10">
                  <c:v>637305</c:v>
                </c:pt>
                <c:pt idx="11">
                  <c:v>444834</c:v>
                </c:pt>
              </c:numCache>
            </c:numRef>
          </c:val>
          <c:extLst>
            <c:ext xmlns:c16="http://schemas.microsoft.com/office/drawing/2014/chart" uri="{C3380CC4-5D6E-409C-BE32-E72D297353CC}">
              <c16:uniqueId val="{00000001-8FD7-4146-9616-9CE51775780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Amount (₹)</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Outstanding Receivables by Region</a:t>
            </a:r>
          </a:p>
        </c:rich>
      </c:tx>
      <c:overlay val="1"/>
    </c:title>
    <c:autoTitleDeleted val="0"/>
    <c:plotArea>
      <c:layout/>
      <c:barChart>
        <c:barDir val="bar"/>
        <c:grouping val="clustered"/>
        <c:varyColors val="1"/>
        <c:ser>
          <c:idx val="0"/>
          <c:order val="0"/>
          <c:tx>
            <c:strRef>
              <c:f>Dashboard!$J$11</c:f>
              <c:strCache>
                <c:ptCount val="1"/>
                <c:pt idx="0">
                  <c:v>Receivable</c:v>
                </c:pt>
              </c:strCache>
            </c:strRef>
          </c:tx>
          <c:spPr>
            <a:ln>
              <a:prstDash val="solid"/>
            </a:ln>
          </c:spPr>
          <c:invertIfNegative val="1"/>
          <c:cat>
            <c:strRef>
              <c:f>Dashboard!$G$12:$G$14</c:f>
              <c:strCache>
                <c:ptCount val="3"/>
                <c:pt idx="0">
                  <c:v>West</c:v>
                </c:pt>
                <c:pt idx="1">
                  <c:v>South</c:v>
                </c:pt>
                <c:pt idx="2">
                  <c:v>North</c:v>
                </c:pt>
              </c:strCache>
            </c:strRef>
          </c:cat>
          <c:val>
            <c:numRef>
              <c:f>Dashboard!$J$12:$J$14</c:f>
              <c:numCache>
                <c:formatCode>\₹#,##0</c:formatCode>
                <c:ptCount val="3"/>
                <c:pt idx="0">
                  <c:v>3012045</c:v>
                </c:pt>
                <c:pt idx="1">
                  <c:v>2317650</c:v>
                </c:pt>
                <c:pt idx="2">
                  <c:v>1290142</c:v>
                </c:pt>
              </c:numCache>
            </c:numRef>
          </c:val>
          <c:extLst>
            <c:ext xmlns:c16="http://schemas.microsoft.com/office/drawing/2014/chart" uri="{C3380CC4-5D6E-409C-BE32-E72D297353CC}">
              <c16:uniqueId val="{00000000-1743-4081-A38F-B8926427008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Amount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Region</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rPr lang="en-IN"/>
              <a:t>Sales by Product</a:t>
            </a:r>
          </a:p>
        </c:rich>
      </c:tx>
      <c:overlay val="1"/>
    </c:title>
    <c:autoTitleDeleted val="0"/>
    <c:plotArea>
      <c:layout/>
      <c:barChart>
        <c:barDir val="bar"/>
        <c:grouping val="clustered"/>
        <c:varyColors val="1"/>
        <c:ser>
          <c:idx val="0"/>
          <c:order val="0"/>
          <c:tx>
            <c:strRef>
              <c:f>Dashboard!$M$11</c:f>
              <c:strCache>
                <c:ptCount val="1"/>
                <c:pt idx="0">
                  <c:v>Sales</c:v>
                </c:pt>
              </c:strCache>
            </c:strRef>
          </c:tx>
          <c:spPr>
            <a:ln>
              <a:prstDash val="solid"/>
            </a:ln>
          </c:spPr>
          <c:invertIfNegative val="1"/>
          <c:cat>
            <c:strRef>
              <c:f>Dashboard!$L$12:$L$16</c:f>
              <c:strCache>
                <c:ptCount val="5"/>
                <c:pt idx="0">
                  <c:v>Mobile</c:v>
                </c:pt>
                <c:pt idx="1">
                  <c:v>Laptop</c:v>
                </c:pt>
                <c:pt idx="2">
                  <c:v>Printer</c:v>
                </c:pt>
                <c:pt idx="3">
                  <c:v>Tablet</c:v>
                </c:pt>
                <c:pt idx="4">
                  <c:v>Monitor</c:v>
                </c:pt>
              </c:strCache>
            </c:strRef>
          </c:cat>
          <c:val>
            <c:numRef>
              <c:f>Dashboard!$M$12:$M$16</c:f>
              <c:numCache>
                <c:formatCode>\₹#,##0</c:formatCode>
                <c:ptCount val="5"/>
                <c:pt idx="0">
                  <c:v>2846709</c:v>
                </c:pt>
                <c:pt idx="1">
                  <c:v>2827161</c:v>
                </c:pt>
                <c:pt idx="2">
                  <c:v>2823944</c:v>
                </c:pt>
                <c:pt idx="3">
                  <c:v>2768329</c:v>
                </c:pt>
                <c:pt idx="4">
                  <c:v>2749834</c:v>
                </c:pt>
              </c:numCache>
            </c:numRef>
          </c:val>
          <c:extLst>
            <c:ext xmlns:c16="http://schemas.microsoft.com/office/drawing/2014/chart" uri="{C3380CC4-5D6E-409C-BE32-E72D297353CC}">
              <c16:uniqueId val="{00000000-A4E6-47AB-9C5E-CFC61D9B753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Amount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Product</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Invoice Count by Payment Status</a:t>
            </a:r>
          </a:p>
        </c:rich>
      </c:tx>
      <c:overlay val="1"/>
    </c:title>
    <c:autoTitleDeleted val="0"/>
    <c:plotArea>
      <c:layout/>
      <c:doughnutChart>
        <c:varyColors val="1"/>
        <c:ser>
          <c:idx val="0"/>
          <c:order val="0"/>
          <c:tx>
            <c:strRef>
              <c:f>Dashboard!$H$21</c:f>
              <c:strCache>
                <c:ptCount val="1"/>
                <c:pt idx="0">
                  <c:v>Invoice Count</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Dashboard!$G$22:$G$23</c:f>
              <c:strCache>
                <c:ptCount val="2"/>
                <c:pt idx="0">
                  <c:v>Pending</c:v>
                </c:pt>
                <c:pt idx="1">
                  <c:v>Received</c:v>
                </c:pt>
              </c:strCache>
            </c:strRef>
          </c:cat>
          <c:val>
            <c:numRef>
              <c:f>Dashboard!$H$22:$H$23</c:f>
              <c:numCache>
                <c:formatCode>General</c:formatCode>
                <c:ptCount val="2"/>
                <c:pt idx="0">
                  <c:v>475</c:v>
                </c:pt>
                <c:pt idx="1">
                  <c:v>25</c:v>
                </c:pt>
              </c:numCache>
            </c:numRef>
          </c:val>
          <c:extLst>
            <c:ext xmlns:c16="http://schemas.microsoft.com/office/drawing/2014/chart" uri="{C3380CC4-5D6E-409C-BE32-E72D297353CC}">
              <c16:uniqueId val="{00000000-A1D3-469A-AF41-48DF5A868DD7}"/>
            </c:ext>
          </c:extLst>
        </c:ser>
        <c:dLbls>
          <c:showLegendKey val="1"/>
          <c:showVal val="1"/>
          <c:showCatName val="1"/>
          <c:showSerName val="1"/>
          <c:showPercent val="1"/>
          <c:showBubbleSize val="1"/>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data id="1">
      <cx:strDim type="cat">
        <cx:f>_xlchart.v1.7</cx:f>
      </cx:strDim>
      <cx:numDim type="val">
        <cx:f>_xlchart.v1.10</cx:f>
      </cx:numDim>
    </cx:data>
    <cx:data id="2">
      <cx:strDim type="cat">
        <cx:f>_xlchart.v1.7</cx:f>
      </cx:strDim>
      <cx:numDim type="val">
        <cx:f>_xlchart.v1.12</cx:f>
      </cx:numDim>
    </cx:data>
  </cx:chartData>
  <cx:chart>
    <cx:title pos="t" align="ctr" overlay="0">
      <cx:tx>
        <cx:txData>
          <cx:v>REGIONAL SALES &amp; RECEIVABLES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REGIONAL SALES &amp; RECEIVABLES</a:t>
          </a:r>
        </a:p>
      </cx:txPr>
    </cx:title>
    <cx:plotArea>
      <cx:plotAreaRegion>
        <cx:series layoutId="clusteredColumn" uniqueId="{C36FBE82-5F5E-4788-B923-E1682E10F4A1}" formatIdx="0">
          <cx:tx>
            <cx:txData>
              <cx:f>_xlchart.v1.9</cx:f>
              <cx:v>Sales</cx:v>
            </cx:txData>
          </cx:tx>
          <cx:dataId val="0"/>
          <cx:layoutPr>
            <cx:aggregation/>
          </cx:layoutPr>
          <cx:axisId val="1"/>
        </cx:series>
        <cx:series layoutId="paretoLine" ownerIdx="0" uniqueId="{65F8D4F5-6B18-43E2-B77A-88714C17C35D}" formatIdx="1">
          <cx:axisId val="2"/>
        </cx:series>
        <cx:series layoutId="clusteredColumn" hidden="1" uniqueId="{41CE7021-FE9B-465B-8C01-040861A95683}" formatIdx="2">
          <cx:tx>
            <cx:txData>
              <cx:f>_xlchart.v1.11</cx:f>
              <cx:v>Receivable </cx:v>
            </cx:txData>
          </cx:tx>
          <cx:dataId val="1"/>
          <cx:layoutPr>
            <cx:aggregation/>
          </cx:layoutPr>
          <cx:axisId val="1"/>
        </cx:series>
        <cx:series layoutId="paretoLine" ownerIdx="2" uniqueId="{271F5AB0-7E23-427F-845E-9CBCB47576BA}" formatIdx="3">
          <cx:axisId val="2"/>
        </cx:series>
        <cx:series layoutId="clusteredColumn" hidden="1" uniqueId="{A248417B-1689-4B25-B335-7FEFFAFC4B38}" formatIdx="4">
          <cx:tx>
            <cx:txData>
              <cx:f>_xlchart.v1.13</cx:f>
              <cx:v>Receipts </cx:v>
            </cx:txData>
          </cx:tx>
          <cx:dataId val="2"/>
          <cx:layoutPr>
            <cx:aggregation/>
          </cx:layoutPr>
          <cx:axisId val="1"/>
        </cx:series>
        <cx:series layoutId="paretoLine" ownerIdx="4" uniqueId="{5E745BC3-C4C7-4735-B659-646743157EA4}"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50800</xdr:rowOff>
    </xdr:from>
    <xdr:to>
      <xdr:col>4</xdr:col>
      <xdr:colOff>146050</xdr:colOff>
      <xdr:row>36</xdr:row>
      <xdr:rowOff>19050</xdr:rowOff>
    </xdr:to>
    <xdr:graphicFrame macro="">
      <xdr:nvGraphicFramePr>
        <xdr:cNvPr id="2" name="Chart 1">
          <a:extLst>
            <a:ext uri="{FF2B5EF4-FFF2-40B4-BE49-F238E27FC236}">
              <a16:creationId xmlns:a16="http://schemas.microsoft.com/office/drawing/2014/main" id="{3B028270-1FE4-45B7-9C80-EC00043B1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777875</xdr:colOff>
      <xdr:row>31</xdr:row>
      <xdr:rowOff>177800</xdr:rowOff>
    </xdr:from>
    <xdr:to>
      <xdr:col>9</xdr:col>
      <xdr:colOff>438150</xdr:colOff>
      <xdr:row>44</xdr:row>
      <xdr:rowOff>12700</xdr:rowOff>
    </xdr:to>
    <xdr:graphicFrame macro="">
      <xdr:nvGraphicFramePr>
        <xdr:cNvPr id="3" name="Chart 2">
          <a:extLst>
            <a:ext uri="{FF2B5EF4-FFF2-40B4-BE49-F238E27FC236}">
              <a16:creationId xmlns:a16="http://schemas.microsoft.com/office/drawing/2014/main" id="{1047EEA1-DA39-4C8F-8446-912CB2A9C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3175</xdr:colOff>
      <xdr:row>33</xdr:row>
      <xdr:rowOff>19050</xdr:rowOff>
    </xdr:from>
    <xdr:to>
      <xdr:col>14</xdr:col>
      <xdr:colOff>669925</xdr:colOff>
      <xdr:row>48</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FE7C46C-F790-4605-9FD9-61DB0190B8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61425" y="6229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688975</xdr:colOff>
      <xdr:row>23</xdr:row>
      <xdr:rowOff>177800</xdr:rowOff>
    </xdr:from>
    <xdr:to>
      <xdr:col>24</xdr:col>
      <xdr:colOff>85725</xdr:colOff>
      <xdr:row>38</xdr:row>
      <xdr:rowOff>158750</xdr:rowOff>
    </xdr:to>
    <xdr:graphicFrame macro="">
      <xdr:nvGraphicFramePr>
        <xdr:cNvPr id="5" name="Chart 4">
          <a:extLst>
            <a:ext uri="{FF2B5EF4-FFF2-40B4-BE49-F238E27FC236}">
              <a16:creationId xmlns:a16="http://schemas.microsoft.com/office/drawing/2014/main" id="{586938EC-3567-44B6-8A79-074E9144B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425450</xdr:colOff>
      <xdr:row>24</xdr:row>
      <xdr:rowOff>69851</xdr:rowOff>
    </xdr:from>
    <xdr:to>
      <xdr:col>15</xdr:col>
      <xdr:colOff>438150</xdr:colOff>
      <xdr:row>30</xdr:row>
      <xdr:rowOff>146051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D36DE23-4554-474D-BB3E-E7E5748E59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50700" y="46228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40</xdr:row>
      <xdr:rowOff>25400</xdr:rowOff>
    </xdr:from>
    <xdr:to>
      <xdr:col>5</xdr:col>
      <xdr:colOff>654050</xdr:colOff>
      <xdr:row>55</xdr:row>
      <xdr:rowOff>6350</xdr:rowOff>
    </xdr:to>
    <xdr:graphicFrame macro="">
      <xdr:nvGraphicFramePr>
        <xdr:cNvPr id="8" name="Chart 7">
          <a:extLst>
            <a:ext uri="{FF2B5EF4-FFF2-40B4-BE49-F238E27FC236}">
              <a16:creationId xmlns:a16="http://schemas.microsoft.com/office/drawing/2014/main" id="{A50DC322-1428-4119-B66B-B2EA320FA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27</xdr:row>
      <xdr:rowOff>0</xdr:rowOff>
    </xdr:from>
    <xdr:ext cx="504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27</xdr:row>
      <xdr:rowOff>0</xdr:rowOff>
    </xdr:from>
    <xdr:ext cx="4320000" cy="27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43</xdr:row>
      <xdr:rowOff>0</xdr:rowOff>
    </xdr:from>
    <xdr:ext cx="4320000" cy="270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43</xdr:row>
      <xdr:rowOff>0</xdr:rowOff>
    </xdr:from>
    <xdr:ext cx="3600000" cy="270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jal Rai" refreshedDate="46322.487002430556" createdVersion="7" refreshedVersion="7" minRefreshableVersion="3" recordCount="500" xr:uid="{53325A46-AE35-4100-9790-4DC3DB08A317}">
  <cacheSource type="worksheet">
    <worksheetSource ref="A1:R501" sheet="Sales_Data"/>
  </cacheSource>
  <cacheFields count="18">
    <cacheField name="Serial No." numFmtId="0">
      <sharedItems containsSemiMixedTypes="0" containsString="0" containsNumber="1" containsInteger="1" minValue="1" maxValue="500"/>
    </cacheField>
    <cacheField name="Order No." numFmtId="0">
      <sharedItems/>
    </cacheField>
    <cacheField name="Invoice Number" numFmtId="0">
      <sharedItems/>
    </cacheField>
    <cacheField name="Month" numFmtId="0">
      <sharedItems count="12">
        <s v="May"/>
        <s v="Jun"/>
        <s v="Mar"/>
        <s v="Aug"/>
        <s v="Apr"/>
        <s v="Feb"/>
        <s v="Jan"/>
        <s v="Oct"/>
        <s v="Jul"/>
        <s v="Dec"/>
        <s v="Nov"/>
        <s v="Sep"/>
      </sharedItems>
    </cacheField>
    <cacheField name="Quarter" numFmtId="0">
      <sharedItems count="4">
        <s v="Q2"/>
        <s v="Q1"/>
        <s v="Q3"/>
        <s v="Q4"/>
      </sharedItems>
    </cacheField>
    <cacheField name="Name of Customer" numFmtId="0">
      <sharedItems/>
    </cacheField>
    <cacheField name="GSTN" numFmtId="0">
      <sharedItems/>
    </cacheField>
    <cacheField name="Product" numFmtId="0">
      <sharedItems count="5">
        <s v="Printer"/>
        <s v="Mobile"/>
        <s v="Laptop"/>
        <s v="Tablet"/>
        <s v="Monitor"/>
      </sharedItems>
    </cacheField>
    <cacheField name="Address" numFmtId="0">
      <sharedItems/>
    </cacheField>
    <cacheField name="City" numFmtId="0">
      <sharedItems/>
    </cacheField>
    <cacheField name="State" numFmtId="0">
      <sharedItems/>
    </cacheField>
    <cacheField name="Region" numFmtId="0">
      <sharedItems count="3">
        <s v="South"/>
        <s v="North"/>
        <s v="West"/>
      </sharedItems>
    </cacheField>
    <cacheField name="Sales Person" numFmtId="0">
      <sharedItems count="5">
        <s v="Raj"/>
        <s v="Neha"/>
        <s v="Amit"/>
        <s v="Vikas"/>
        <s v="Sneha"/>
      </sharedItems>
    </cacheField>
    <cacheField name="Mode of Delivery" numFmtId="0">
      <sharedItems/>
    </cacheField>
    <cacheField name="Invoice Amount" numFmtId="0">
      <sharedItems containsSemiMixedTypes="0" containsString="0" containsNumber="1" containsInteger="1" minValue="5078" maxValue="49938" count="498">
        <n v="17970"/>
        <n v="20208"/>
        <n v="44966"/>
        <n v="29515"/>
        <n v="21821"/>
        <n v="13274"/>
        <n v="27129"/>
        <n v="29384"/>
        <n v="21574"/>
        <n v="22093"/>
        <n v="47783"/>
        <n v="6294"/>
        <n v="48216"/>
        <n v="44735"/>
        <n v="46054"/>
        <n v="31416"/>
        <n v="39221"/>
        <n v="32685"/>
        <n v="7436"/>
        <n v="9446"/>
        <n v="44979"/>
        <n v="42225"/>
        <n v="13229"/>
        <n v="48990"/>
        <n v="6618"/>
        <n v="7651"/>
        <n v="42300"/>
        <n v="46886"/>
        <n v="44884"/>
        <n v="11330"/>
        <n v="46570"/>
        <n v="13734"/>
        <n v="5078"/>
        <n v="49604"/>
        <n v="48398"/>
        <n v="15696"/>
        <n v="40883"/>
        <n v="33010"/>
        <n v="9558"/>
        <n v="49423"/>
        <n v="11557"/>
        <n v="49283"/>
        <n v="5622"/>
        <n v="23012"/>
        <n v="32091"/>
        <n v="19546"/>
        <n v="32309"/>
        <n v="43019"/>
        <n v="22146"/>
        <n v="16852"/>
        <n v="37120"/>
        <n v="30001"/>
        <n v="5184"/>
        <n v="6581"/>
        <n v="48296"/>
        <n v="5662"/>
        <n v="13459"/>
        <n v="14992"/>
        <n v="42841"/>
        <n v="36311"/>
        <n v="23981"/>
        <n v="36920"/>
        <n v="27466"/>
        <n v="25908"/>
        <n v="46389"/>
        <n v="11052"/>
        <n v="17977"/>
        <n v="23392"/>
        <n v="20087"/>
        <n v="6975"/>
        <n v="25217"/>
        <n v="49333"/>
        <n v="35671"/>
        <n v="44051"/>
        <n v="32807"/>
        <n v="22338"/>
        <n v="26007"/>
        <n v="22132"/>
        <n v="47883"/>
        <n v="10874"/>
        <n v="11592"/>
        <n v="26662"/>
        <n v="47316"/>
        <n v="22005"/>
        <n v="46521"/>
        <n v="15886"/>
        <n v="35944"/>
        <n v="44773"/>
        <n v="32815"/>
        <n v="12789"/>
        <n v="42292"/>
        <n v="34085"/>
        <n v="6256"/>
        <n v="42804"/>
        <n v="6472"/>
        <n v="27671"/>
        <n v="9836"/>
        <n v="46324"/>
        <n v="33175"/>
        <n v="12279"/>
        <n v="19148"/>
        <n v="6828"/>
        <n v="6669"/>
        <n v="48495"/>
        <n v="48828"/>
        <n v="32560"/>
        <n v="20950"/>
        <n v="31123"/>
        <n v="8294"/>
        <n v="9586"/>
        <n v="12151"/>
        <n v="32545"/>
        <n v="25874"/>
        <n v="14823"/>
        <n v="44799"/>
        <n v="11001"/>
        <n v="49725"/>
        <n v="26465"/>
        <n v="12155"/>
        <n v="40689"/>
        <n v="25923"/>
        <n v="10994"/>
        <n v="45834"/>
        <n v="28368"/>
        <n v="7884"/>
        <n v="29194"/>
        <n v="30208"/>
        <n v="19406"/>
        <n v="11159"/>
        <n v="41046"/>
        <n v="31985"/>
        <n v="43475"/>
        <n v="45171"/>
        <n v="42982"/>
        <n v="39647"/>
        <n v="12581"/>
        <n v="30544"/>
        <n v="42978"/>
        <n v="42051"/>
        <n v="13838"/>
        <n v="48425"/>
        <n v="47612"/>
        <n v="30237"/>
        <n v="24330"/>
        <n v="10414"/>
        <n v="27887"/>
        <n v="20990"/>
        <n v="48609"/>
        <n v="42953"/>
        <n v="49197"/>
        <n v="6509"/>
        <n v="44871"/>
        <n v="34611"/>
        <n v="13039"/>
        <n v="26358"/>
        <n v="18100"/>
        <n v="38268"/>
        <n v="43122"/>
        <n v="27602"/>
        <n v="5457"/>
        <n v="23293"/>
        <n v="32753"/>
        <n v="28653"/>
        <n v="24428"/>
        <n v="38321"/>
        <n v="49095"/>
        <n v="36522"/>
        <n v="44308"/>
        <n v="13683"/>
        <n v="49125"/>
        <n v="33280"/>
        <n v="14607"/>
        <n v="7492"/>
        <n v="46356"/>
        <n v="37108"/>
        <n v="42522"/>
        <n v="8373"/>
        <n v="39954"/>
        <n v="8811"/>
        <n v="12457"/>
        <n v="26853"/>
        <n v="40499"/>
        <n v="16223"/>
        <n v="23913"/>
        <n v="44113"/>
        <n v="39142"/>
        <n v="33198"/>
        <n v="43299"/>
        <n v="41434"/>
        <n v="44607"/>
        <n v="7553"/>
        <n v="46617"/>
        <n v="36588"/>
        <n v="12162"/>
        <n v="23256"/>
        <n v="38847"/>
        <n v="15977"/>
        <n v="38938"/>
        <n v="17243"/>
        <n v="8691"/>
        <n v="24413"/>
        <n v="45716"/>
        <n v="13108"/>
        <n v="39585"/>
        <n v="26423"/>
        <n v="40564"/>
        <n v="7320"/>
        <n v="31935"/>
        <n v="43714"/>
        <n v="42464"/>
        <n v="38680"/>
        <n v="46440"/>
        <n v="34283"/>
        <n v="34700"/>
        <n v="10679"/>
        <n v="11020"/>
        <n v="20365"/>
        <n v="30981"/>
        <n v="40591"/>
        <n v="48831"/>
        <n v="25673"/>
        <n v="45229"/>
        <n v="47693"/>
        <n v="11012"/>
        <n v="12529"/>
        <n v="45145"/>
        <n v="49072"/>
        <n v="28478"/>
        <n v="39720"/>
        <n v="15206"/>
        <n v="25663"/>
        <n v="23427"/>
        <n v="27791"/>
        <n v="38831"/>
        <n v="48776"/>
        <n v="23239"/>
        <n v="26519"/>
        <n v="22710"/>
        <n v="14547"/>
        <n v="46140"/>
        <n v="43891"/>
        <n v="30313"/>
        <n v="44094"/>
        <n v="49073"/>
        <n v="17818"/>
        <n v="31126"/>
        <n v="10537"/>
        <n v="42264"/>
        <n v="42190"/>
        <n v="13815"/>
        <n v="47903"/>
        <n v="36887"/>
        <n v="32961"/>
        <n v="44694"/>
        <n v="22752"/>
        <n v="5780"/>
        <n v="26452"/>
        <n v="16578"/>
        <n v="29753"/>
        <n v="24450"/>
        <n v="21160"/>
        <n v="46283"/>
        <n v="24922"/>
        <n v="8502"/>
        <n v="15940"/>
        <n v="5483"/>
        <n v="5411"/>
        <n v="13373"/>
        <n v="41190"/>
        <n v="13611"/>
        <n v="6902"/>
        <n v="35861"/>
        <n v="26522"/>
        <n v="14574"/>
        <n v="20700"/>
        <n v="5113"/>
        <n v="12605"/>
        <n v="33470"/>
        <n v="30063"/>
        <n v="31988"/>
        <n v="36600"/>
        <n v="23380"/>
        <n v="16836"/>
        <n v="43971"/>
        <n v="36721"/>
        <n v="27452"/>
        <n v="44682"/>
        <n v="9016"/>
        <n v="22155"/>
        <n v="11339"/>
        <n v="30882"/>
        <n v="33788"/>
        <n v="47143"/>
        <n v="41569"/>
        <n v="15896"/>
        <n v="6987"/>
        <n v="28807"/>
        <n v="17509"/>
        <n v="32006"/>
        <n v="35952"/>
        <n v="11275"/>
        <n v="5689"/>
        <n v="11237"/>
        <n v="42463"/>
        <n v="34144"/>
        <n v="43918"/>
        <n v="29114"/>
        <n v="46050"/>
        <n v="21208"/>
        <n v="38641"/>
        <n v="13275"/>
        <n v="33711"/>
        <n v="32497"/>
        <n v="36546"/>
        <n v="15494"/>
        <n v="29777"/>
        <n v="26579"/>
        <n v="19669"/>
        <n v="48328"/>
        <n v="23518"/>
        <n v="39575"/>
        <n v="30526"/>
        <n v="5524"/>
        <n v="35325"/>
        <n v="29420"/>
        <n v="6516"/>
        <n v="39912"/>
        <n v="17941"/>
        <n v="44207"/>
        <n v="40158"/>
        <n v="41089"/>
        <n v="11872"/>
        <n v="46409"/>
        <n v="10352"/>
        <n v="17556"/>
        <n v="30269"/>
        <n v="9543"/>
        <n v="47041"/>
        <n v="34959"/>
        <n v="23457"/>
        <n v="39986"/>
        <n v="14061"/>
        <n v="16656"/>
        <n v="26166"/>
        <n v="39478"/>
        <n v="6513"/>
        <n v="16452"/>
        <n v="44817"/>
        <n v="45624"/>
        <n v="29873"/>
        <n v="32995"/>
        <n v="21845"/>
        <n v="23228"/>
        <n v="26924"/>
        <n v="26624"/>
        <n v="21503"/>
        <n v="35246"/>
        <n v="22627"/>
        <n v="32705"/>
        <n v="10841"/>
        <n v="26840"/>
        <n v="25396"/>
        <n v="5629"/>
        <n v="30032"/>
        <n v="8503"/>
        <n v="6908"/>
        <n v="13530"/>
        <n v="21625"/>
        <n v="11687"/>
        <n v="19337"/>
        <n v="38813"/>
        <n v="44841"/>
        <n v="47205"/>
        <n v="40270"/>
        <n v="27387"/>
        <n v="28224"/>
        <n v="49589"/>
        <n v="7762"/>
        <n v="10164"/>
        <n v="34083"/>
        <n v="5482"/>
        <n v="34031"/>
        <n v="27273"/>
        <n v="22415"/>
        <n v="44402"/>
        <n v="47521"/>
        <n v="47580"/>
        <n v="8650"/>
        <n v="49232"/>
        <n v="24684"/>
        <n v="48787"/>
        <n v="24645"/>
        <n v="46310"/>
        <n v="21874"/>
        <n v="10808"/>
        <n v="49938"/>
        <n v="40309"/>
        <n v="29055"/>
        <n v="27962"/>
        <n v="19683"/>
        <n v="9179"/>
        <n v="16509"/>
        <n v="39897"/>
        <n v="48472"/>
        <n v="15226"/>
        <n v="15299"/>
        <n v="33100"/>
        <n v="27435"/>
        <n v="7397"/>
        <n v="45107"/>
        <n v="16061"/>
        <n v="37422"/>
        <n v="35353"/>
        <n v="39039"/>
        <n v="19765"/>
        <n v="23717"/>
        <n v="6415"/>
        <n v="14094"/>
        <n v="31135"/>
        <n v="36955"/>
        <n v="37921"/>
        <n v="23973"/>
        <n v="25446"/>
        <n v="34945"/>
        <n v="21220"/>
        <n v="22380"/>
        <n v="26731"/>
        <n v="32108"/>
        <n v="23638"/>
        <n v="15530"/>
        <n v="18169"/>
        <n v="42707"/>
        <n v="27902"/>
        <n v="11428"/>
        <n v="13989"/>
        <n v="15638"/>
        <n v="6830"/>
        <n v="10667"/>
        <n v="28986"/>
        <n v="9171"/>
        <n v="45146"/>
        <n v="39339"/>
        <n v="35856"/>
        <n v="30850"/>
        <n v="13351"/>
        <n v="42831"/>
        <n v="16172"/>
        <n v="43422"/>
        <n v="24092"/>
        <n v="27092"/>
        <n v="22111"/>
        <n v="36989"/>
        <n v="21444"/>
        <n v="17924"/>
        <n v="43266"/>
        <n v="29238"/>
        <n v="29379"/>
        <n v="8873"/>
        <n v="34248"/>
        <n v="48481"/>
        <n v="46294"/>
        <n v="6138"/>
        <n v="34238"/>
        <n v="7802"/>
        <n v="19024"/>
        <n v="24453"/>
        <n v="41949"/>
        <n v="36414"/>
        <n v="28511"/>
        <n v="47948"/>
        <n v="6967"/>
        <n v="17498"/>
        <n v="24936"/>
        <n v="45476"/>
        <n v="45021"/>
        <n v="30766"/>
        <n v="37461"/>
        <n v="16105"/>
        <n v="17485"/>
        <n v="34347"/>
        <n v="32632"/>
        <n v="36438"/>
        <n v="16887"/>
        <n v="38021"/>
        <n v="10916"/>
        <n v="34623"/>
        <n v="43006"/>
        <n v="27682"/>
        <n v="8824"/>
        <n v="17517"/>
        <n v="30251"/>
        <n v="31726"/>
        <n v="10221"/>
        <n v="15113"/>
        <n v="46191"/>
        <n v="46157"/>
        <n v="38327"/>
        <n v="14661"/>
      </sharedItems>
    </cacheField>
    <cacheField name="Receipts" numFmtId="0">
      <sharedItems containsSemiMixedTypes="0" containsString="0" containsNumber="1" containsInteger="1" minValue="0" maxValue="46886"/>
    </cacheField>
    <cacheField name="Payment Status" numFmtId="0">
      <sharedItems count="2">
        <s v="Received"/>
        <s v="Pending"/>
      </sharedItems>
    </cacheField>
    <cacheField name="Receivable" numFmtId="0">
      <sharedItems containsSemiMixedTypes="0" containsString="0" containsNumber="1" containsInteger="1" minValue="0" maxValue="47373"/>
    </cacheField>
  </cacheFields>
  <extLst>
    <ext xmlns:x14="http://schemas.microsoft.com/office/spreadsheetml/2009/9/main" uri="{725AE2AE-9491-48be-B2B4-4EB974FC3084}">
      <x14:pivotCacheDefinition pivotCacheId="963874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ORD0001"/>
    <s v="INV0001"/>
    <x v="0"/>
    <x v="0"/>
    <s v="ABC Pvt Ltd"/>
    <s v="GST55675"/>
    <x v="0"/>
    <s v="74, Main Street"/>
    <s v="Bangalore"/>
    <s v="Karnataka"/>
    <x v="0"/>
    <x v="0"/>
    <s v="Transport"/>
    <x v="0"/>
    <n v="17970"/>
    <x v="0"/>
    <n v="0"/>
  </r>
  <r>
    <n v="2"/>
    <s v="ORD0002"/>
    <s v="INV0002"/>
    <x v="1"/>
    <x v="0"/>
    <s v="Global Traders"/>
    <s v="GST76463"/>
    <x v="0"/>
    <s v="2, Main Street"/>
    <s v="Bangalore"/>
    <s v="Karnataka"/>
    <x v="0"/>
    <x v="1"/>
    <s v="Hand Delivery"/>
    <x v="1"/>
    <n v="14770"/>
    <x v="1"/>
    <n v="5438"/>
  </r>
  <r>
    <n v="3"/>
    <s v="ORD0003"/>
    <s v="INV0003"/>
    <x v="2"/>
    <x v="1"/>
    <s v="ABC Pvt Ltd"/>
    <s v="GST42359"/>
    <x v="1"/>
    <s v="43, Main Street"/>
    <s v="Delhi"/>
    <s v="Delhi"/>
    <x v="1"/>
    <x v="0"/>
    <s v="Courier"/>
    <x v="2"/>
    <n v="44966"/>
    <x v="0"/>
    <n v="0"/>
  </r>
  <r>
    <n v="4"/>
    <s v="ORD0004"/>
    <s v="INV0004"/>
    <x v="3"/>
    <x v="2"/>
    <s v="Sunrise Ltd"/>
    <s v="GST11882"/>
    <x v="1"/>
    <s v="87, Main Street"/>
    <s v="Delhi"/>
    <s v="Delhi"/>
    <x v="1"/>
    <x v="2"/>
    <s v="Transport"/>
    <x v="3"/>
    <n v="25252"/>
    <x v="1"/>
    <n v="4263"/>
  </r>
  <r>
    <n v="5"/>
    <s v="ORD0005"/>
    <s v="INV0005"/>
    <x v="1"/>
    <x v="0"/>
    <s v="ABC Pvt Ltd"/>
    <s v="GST71641"/>
    <x v="2"/>
    <s v="28, Main Street"/>
    <s v="Chennai"/>
    <s v="Tamil Nadu"/>
    <x v="0"/>
    <x v="1"/>
    <s v="Hand Delivery"/>
    <x v="4"/>
    <n v="21821"/>
    <x v="0"/>
    <n v="0"/>
  </r>
  <r>
    <n v="6"/>
    <s v="ORD0006"/>
    <s v="INV0006"/>
    <x v="1"/>
    <x v="0"/>
    <s v="Tech Solutions"/>
    <s v="GST33999"/>
    <x v="3"/>
    <s v="40, Main Street"/>
    <s v="Chennai"/>
    <s v="Tamil Nadu"/>
    <x v="0"/>
    <x v="2"/>
    <s v="Hand Delivery"/>
    <x v="5"/>
    <n v="2232"/>
    <x v="1"/>
    <n v="11042"/>
  </r>
  <r>
    <n v="7"/>
    <s v="ORD0007"/>
    <s v="INV0007"/>
    <x v="2"/>
    <x v="1"/>
    <s v="Tech Solutions"/>
    <s v="GST17467"/>
    <x v="4"/>
    <s v="39, Main Street"/>
    <s v="Delhi"/>
    <s v="Delhi"/>
    <x v="1"/>
    <x v="0"/>
    <s v="Courier"/>
    <x v="6"/>
    <n v="10244"/>
    <x v="1"/>
    <n v="16885"/>
  </r>
  <r>
    <n v="8"/>
    <s v="ORD0008"/>
    <s v="INV0008"/>
    <x v="1"/>
    <x v="0"/>
    <s v="Sunrise Ltd"/>
    <s v="GST22755"/>
    <x v="0"/>
    <s v="85, Main Street"/>
    <s v="Mumbai"/>
    <s v="Maharashtra"/>
    <x v="2"/>
    <x v="1"/>
    <s v="Courier"/>
    <x v="7"/>
    <n v="27675"/>
    <x v="1"/>
    <n v="1709"/>
  </r>
  <r>
    <n v="9"/>
    <s v="ORD0009"/>
    <s v="INV0009"/>
    <x v="3"/>
    <x v="2"/>
    <s v="Sunrise Ltd"/>
    <s v="GST66306"/>
    <x v="4"/>
    <s v="91, Main Street"/>
    <s v="Delhi"/>
    <s v="Delhi"/>
    <x v="1"/>
    <x v="3"/>
    <s v="Courier"/>
    <x v="8"/>
    <n v="21574"/>
    <x v="0"/>
    <n v="0"/>
  </r>
  <r>
    <n v="10"/>
    <s v="ORD0010"/>
    <s v="INV0010"/>
    <x v="1"/>
    <x v="0"/>
    <s v="XYZ Corp"/>
    <s v="GST86080"/>
    <x v="0"/>
    <s v="73, Main Street"/>
    <s v="Chennai"/>
    <s v="Tamil Nadu"/>
    <x v="0"/>
    <x v="4"/>
    <s v="Transport"/>
    <x v="9"/>
    <n v="12127"/>
    <x v="1"/>
    <n v="9966"/>
  </r>
  <r>
    <n v="11"/>
    <s v="ORD0011"/>
    <s v="INV0011"/>
    <x v="4"/>
    <x v="0"/>
    <s v="Sunrise Ltd"/>
    <s v="GST40471"/>
    <x v="3"/>
    <s v="97, Main Street"/>
    <s v="Pune"/>
    <s v="Maharashtra"/>
    <x v="2"/>
    <x v="2"/>
    <s v="Courier"/>
    <x v="10"/>
    <n v="584"/>
    <x v="1"/>
    <n v="47199"/>
  </r>
  <r>
    <n v="12"/>
    <s v="ORD0012"/>
    <s v="INV0012"/>
    <x v="4"/>
    <x v="0"/>
    <s v="Global Traders"/>
    <s v="GST82981"/>
    <x v="0"/>
    <s v="72, Main Street"/>
    <s v="Chennai"/>
    <s v="Tamil Nadu"/>
    <x v="0"/>
    <x v="2"/>
    <s v="Transport"/>
    <x v="11"/>
    <n v="6294"/>
    <x v="0"/>
    <n v="0"/>
  </r>
  <r>
    <n v="13"/>
    <s v="ORD0013"/>
    <s v="INV0013"/>
    <x v="5"/>
    <x v="1"/>
    <s v="ABC Pvt Ltd"/>
    <s v="GST48829"/>
    <x v="0"/>
    <s v="30, Main Street"/>
    <s v="Chennai"/>
    <s v="Tamil Nadu"/>
    <x v="0"/>
    <x v="2"/>
    <s v="Courier"/>
    <x v="12"/>
    <n v="35698"/>
    <x v="1"/>
    <n v="12518"/>
  </r>
  <r>
    <n v="14"/>
    <s v="ORD0014"/>
    <s v="INV0014"/>
    <x v="6"/>
    <x v="1"/>
    <s v="Sunrise Ltd"/>
    <s v="GST43394"/>
    <x v="2"/>
    <s v="4, Main Street"/>
    <s v="Mumbai"/>
    <s v="Maharashtra"/>
    <x v="2"/>
    <x v="2"/>
    <s v="Hand Delivery"/>
    <x v="13"/>
    <n v="13114"/>
    <x v="1"/>
    <n v="31621"/>
  </r>
  <r>
    <n v="15"/>
    <s v="ORD0015"/>
    <s v="INV0015"/>
    <x v="0"/>
    <x v="0"/>
    <s v="Global Traders"/>
    <s v="GST84949"/>
    <x v="3"/>
    <s v="5, Main Street"/>
    <s v="Delhi"/>
    <s v="Delhi"/>
    <x v="1"/>
    <x v="1"/>
    <s v="Courier"/>
    <x v="14"/>
    <n v="32040"/>
    <x v="1"/>
    <n v="14014"/>
  </r>
  <r>
    <n v="16"/>
    <s v="ORD0016"/>
    <s v="INV0016"/>
    <x v="4"/>
    <x v="0"/>
    <s v="Tech Solutions"/>
    <s v="GST85277"/>
    <x v="2"/>
    <s v="67, Main Street"/>
    <s v="Mumbai"/>
    <s v="Maharashtra"/>
    <x v="2"/>
    <x v="2"/>
    <s v="Hand Delivery"/>
    <x v="15"/>
    <n v="5316"/>
    <x v="1"/>
    <n v="26100"/>
  </r>
  <r>
    <n v="17"/>
    <s v="ORD0017"/>
    <s v="INV0017"/>
    <x v="3"/>
    <x v="2"/>
    <s v="XYZ Corp"/>
    <s v="GST66106"/>
    <x v="0"/>
    <s v="25, Main Street"/>
    <s v="Chennai"/>
    <s v="Tamil Nadu"/>
    <x v="0"/>
    <x v="4"/>
    <s v="Courier"/>
    <x v="16"/>
    <n v="11571"/>
    <x v="1"/>
    <n v="27650"/>
  </r>
  <r>
    <n v="18"/>
    <s v="ORD0018"/>
    <s v="INV0018"/>
    <x v="7"/>
    <x v="3"/>
    <s v="Global Traders"/>
    <s v="GST30517"/>
    <x v="4"/>
    <s v="94, Main Street"/>
    <s v="Delhi"/>
    <s v="Delhi"/>
    <x v="1"/>
    <x v="2"/>
    <s v="Courier"/>
    <x v="17"/>
    <n v="17531"/>
    <x v="1"/>
    <n v="15154"/>
  </r>
  <r>
    <n v="19"/>
    <s v="ORD0019"/>
    <s v="INV0019"/>
    <x v="8"/>
    <x v="2"/>
    <s v="Sunrise Ltd"/>
    <s v="GST67700"/>
    <x v="4"/>
    <s v="3, Main Street"/>
    <s v="Delhi"/>
    <s v="Delhi"/>
    <x v="1"/>
    <x v="3"/>
    <s v="Courier"/>
    <x v="18"/>
    <n v="5832"/>
    <x v="1"/>
    <n v="1604"/>
  </r>
  <r>
    <n v="20"/>
    <s v="ORD0020"/>
    <s v="INV0020"/>
    <x v="4"/>
    <x v="0"/>
    <s v="ABC Pvt Ltd"/>
    <s v="GST26086"/>
    <x v="4"/>
    <s v="65, Main Street"/>
    <s v="Chennai"/>
    <s v="Tamil Nadu"/>
    <x v="0"/>
    <x v="3"/>
    <s v="Transport"/>
    <x v="19"/>
    <n v="7051"/>
    <x v="1"/>
    <n v="2395"/>
  </r>
  <r>
    <n v="21"/>
    <s v="ORD0021"/>
    <s v="INV0021"/>
    <x v="0"/>
    <x v="0"/>
    <s v="Global Traders"/>
    <s v="GST81827"/>
    <x v="3"/>
    <s v="38, Main Street"/>
    <s v="Delhi"/>
    <s v="Delhi"/>
    <x v="1"/>
    <x v="4"/>
    <s v="Transport"/>
    <x v="20"/>
    <n v="44979"/>
    <x v="0"/>
    <n v="0"/>
  </r>
  <r>
    <n v="22"/>
    <s v="ORD0022"/>
    <s v="INV0022"/>
    <x v="3"/>
    <x v="2"/>
    <s v="Sunrise Ltd"/>
    <s v="GST34934"/>
    <x v="2"/>
    <s v="68, Main Street"/>
    <s v="Bangalore"/>
    <s v="Karnataka"/>
    <x v="0"/>
    <x v="2"/>
    <s v="Transport"/>
    <x v="21"/>
    <n v="32979"/>
    <x v="1"/>
    <n v="9246"/>
  </r>
  <r>
    <n v="23"/>
    <s v="ORD0023"/>
    <s v="INV0023"/>
    <x v="5"/>
    <x v="1"/>
    <s v="Tech Solutions"/>
    <s v="GST72064"/>
    <x v="2"/>
    <s v="90, Main Street"/>
    <s v="Chennai"/>
    <s v="Tamil Nadu"/>
    <x v="0"/>
    <x v="2"/>
    <s v="Hand Delivery"/>
    <x v="22"/>
    <n v="13229"/>
    <x v="0"/>
    <n v="0"/>
  </r>
  <r>
    <n v="24"/>
    <s v="ORD0024"/>
    <s v="INV0024"/>
    <x v="8"/>
    <x v="2"/>
    <s v="Global Traders"/>
    <s v="GST41311"/>
    <x v="0"/>
    <s v="26, Main Street"/>
    <s v="Mumbai"/>
    <s v="Maharashtra"/>
    <x v="2"/>
    <x v="2"/>
    <s v="Courier"/>
    <x v="23"/>
    <n v="38338"/>
    <x v="1"/>
    <n v="10652"/>
  </r>
  <r>
    <n v="25"/>
    <s v="ORD0025"/>
    <s v="INV0025"/>
    <x v="1"/>
    <x v="0"/>
    <s v="XYZ Corp"/>
    <s v="GST24186"/>
    <x v="3"/>
    <s v="47, Main Street"/>
    <s v="Pune"/>
    <s v="Maharashtra"/>
    <x v="2"/>
    <x v="2"/>
    <s v="Transport"/>
    <x v="24"/>
    <n v="6618"/>
    <x v="0"/>
    <n v="0"/>
  </r>
  <r>
    <n v="26"/>
    <s v="ORD0026"/>
    <s v="INV0026"/>
    <x v="9"/>
    <x v="3"/>
    <s v="Tech Solutions"/>
    <s v="GST54641"/>
    <x v="3"/>
    <s v="54, Main Street"/>
    <s v="Delhi"/>
    <s v="Delhi"/>
    <x v="1"/>
    <x v="2"/>
    <s v="Courier"/>
    <x v="25"/>
    <n v="7651"/>
    <x v="0"/>
    <n v="0"/>
  </r>
  <r>
    <n v="27"/>
    <s v="ORD0027"/>
    <s v="INV0027"/>
    <x v="7"/>
    <x v="3"/>
    <s v="XYZ Corp"/>
    <s v="GST53823"/>
    <x v="4"/>
    <s v="55, Main Street"/>
    <s v="Chennai"/>
    <s v="Tamil Nadu"/>
    <x v="0"/>
    <x v="1"/>
    <s v="Courier"/>
    <x v="26"/>
    <n v="42300"/>
    <x v="0"/>
    <n v="0"/>
  </r>
  <r>
    <n v="28"/>
    <s v="ORD0028"/>
    <s v="INV0028"/>
    <x v="4"/>
    <x v="0"/>
    <s v="XYZ Corp"/>
    <s v="GST49319"/>
    <x v="0"/>
    <s v="46, Main Street"/>
    <s v="Pune"/>
    <s v="Maharashtra"/>
    <x v="2"/>
    <x v="3"/>
    <s v="Hand Delivery"/>
    <x v="27"/>
    <n v="46886"/>
    <x v="0"/>
    <n v="0"/>
  </r>
  <r>
    <n v="29"/>
    <s v="ORD0029"/>
    <s v="INV0029"/>
    <x v="3"/>
    <x v="2"/>
    <s v="XYZ Corp"/>
    <s v="GST92817"/>
    <x v="1"/>
    <s v="40, Main Street"/>
    <s v="Pune"/>
    <s v="Maharashtra"/>
    <x v="2"/>
    <x v="4"/>
    <s v="Hand Delivery"/>
    <x v="28"/>
    <n v="44884"/>
    <x v="0"/>
    <n v="0"/>
  </r>
  <r>
    <n v="30"/>
    <s v="ORD0030"/>
    <s v="INV0030"/>
    <x v="6"/>
    <x v="1"/>
    <s v="XYZ Corp"/>
    <s v="GST23395"/>
    <x v="4"/>
    <s v="87, Main Street"/>
    <s v="Pune"/>
    <s v="Maharashtra"/>
    <x v="2"/>
    <x v="3"/>
    <s v="Hand Delivery"/>
    <x v="29"/>
    <n v="9319"/>
    <x v="1"/>
    <n v="2011"/>
  </r>
  <r>
    <n v="31"/>
    <s v="ORD0031"/>
    <s v="INV0031"/>
    <x v="6"/>
    <x v="1"/>
    <s v="ABC Pvt Ltd"/>
    <s v="GST55256"/>
    <x v="0"/>
    <s v="23, Main Street"/>
    <s v="Chennai"/>
    <s v="Tamil Nadu"/>
    <x v="0"/>
    <x v="1"/>
    <s v="Hand Delivery"/>
    <x v="30"/>
    <n v="35528"/>
    <x v="1"/>
    <n v="11042"/>
  </r>
  <r>
    <n v="32"/>
    <s v="ORD0032"/>
    <s v="INV0032"/>
    <x v="10"/>
    <x v="3"/>
    <s v="Sunrise Ltd"/>
    <s v="GST66823"/>
    <x v="4"/>
    <s v="84, Main Street"/>
    <s v="Pune"/>
    <s v="Maharashtra"/>
    <x v="2"/>
    <x v="4"/>
    <s v="Hand Delivery"/>
    <x v="31"/>
    <n v="1241"/>
    <x v="1"/>
    <n v="12493"/>
  </r>
  <r>
    <n v="33"/>
    <s v="ORD0033"/>
    <s v="INV0033"/>
    <x v="8"/>
    <x v="2"/>
    <s v="XYZ Corp"/>
    <s v="GST79593"/>
    <x v="3"/>
    <s v="19, Main Street"/>
    <s v="Bangalore"/>
    <s v="Karnataka"/>
    <x v="0"/>
    <x v="0"/>
    <s v="Courier"/>
    <x v="32"/>
    <n v="4152"/>
    <x v="1"/>
    <n v="926"/>
  </r>
  <r>
    <n v="34"/>
    <s v="ORD0034"/>
    <s v="INV0034"/>
    <x v="0"/>
    <x v="0"/>
    <s v="Global Traders"/>
    <s v="GST44665"/>
    <x v="4"/>
    <s v="53, Main Street"/>
    <s v="Delhi"/>
    <s v="Delhi"/>
    <x v="1"/>
    <x v="1"/>
    <s v="Hand Delivery"/>
    <x v="33"/>
    <n v="15979"/>
    <x v="1"/>
    <n v="33625"/>
  </r>
  <r>
    <n v="35"/>
    <s v="ORD0035"/>
    <s v="INV0035"/>
    <x v="5"/>
    <x v="1"/>
    <s v="XYZ Corp"/>
    <s v="GST84853"/>
    <x v="1"/>
    <s v="40, Main Street"/>
    <s v="Mumbai"/>
    <s v="Maharashtra"/>
    <x v="2"/>
    <x v="4"/>
    <s v="Transport"/>
    <x v="34"/>
    <n v="42373"/>
    <x v="1"/>
    <n v="6025"/>
  </r>
  <r>
    <n v="36"/>
    <s v="ORD0036"/>
    <s v="INV0036"/>
    <x v="3"/>
    <x v="2"/>
    <s v="XYZ Corp"/>
    <s v="GST23701"/>
    <x v="4"/>
    <s v="78, Main Street"/>
    <s v="Pune"/>
    <s v="Maharashtra"/>
    <x v="2"/>
    <x v="4"/>
    <s v="Courier"/>
    <x v="35"/>
    <n v="1104"/>
    <x v="1"/>
    <n v="14592"/>
  </r>
  <r>
    <n v="37"/>
    <s v="ORD0037"/>
    <s v="INV0037"/>
    <x v="4"/>
    <x v="0"/>
    <s v="XYZ Corp"/>
    <s v="GST28196"/>
    <x v="1"/>
    <s v="56, Main Street"/>
    <s v="Mumbai"/>
    <s v="Maharashtra"/>
    <x v="2"/>
    <x v="1"/>
    <s v="Transport"/>
    <x v="36"/>
    <n v="36977"/>
    <x v="1"/>
    <n v="3906"/>
  </r>
  <r>
    <n v="38"/>
    <s v="ORD0038"/>
    <s v="INV0038"/>
    <x v="2"/>
    <x v="1"/>
    <s v="XYZ Corp"/>
    <s v="GST91637"/>
    <x v="1"/>
    <s v="56, Main Street"/>
    <s v="Pune"/>
    <s v="Maharashtra"/>
    <x v="2"/>
    <x v="0"/>
    <s v="Hand Delivery"/>
    <x v="37"/>
    <n v="29780"/>
    <x v="1"/>
    <n v="3230"/>
  </r>
  <r>
    <n v="39"/>
    <s v="ORD0039"/>
    <s v="INV0039"/>
    <x v="8"/>
    <x v="2"/>
    <s v="Sunrise Ltd"/>
    <s v="GST19174"/>
    <x v="2"/>
    <s v="61, Main Street"/>
    <s v="Delhi"/>
    <s v="Delhi"/>
    <x v="1"/>
    <x v="1"/>
    <s v="Hand Delivery"/>
    <x v="38"/>
    <n v="9268"/>
    <x v="1"/>
    <n v="290"/>
  </r>
  <r>
    <n v="40"/>
    <s v="ORD0040"/>
    <s v="INV0040"/>
    <x v="8"/>
    <x v="2"/>
    <s v="Sunrise Ltd"/>
    <s v="GST15256"/>
    <x v="1"/>
    <s v="80, Main Street"/>
    <s v="Delhi"/>
    <s v="Delhi"/>
    <x v="1"/>
    <x v="2"/>
    <s v="Hand Delivery"/>
    <x v="39"/>
    <n v="28592"/>
    <x v="1"/>
    <n v="20831"/>
  </r>
  <r>
    <n v="41"/>
    <s v="ORD0041"/>
    <s v="INV0041"/>
    <x v="2"/>
    <x v="1"/>
    <s v="Global Traders"/>
    <s v="GST66394"/>
    <x v="0"/>
    <s v="27, Main Street"/>
    <s v="Mumbai"/>
    <s v="Maharashtra"/>
    <x v="2"/>
    <x v="3"/>
    <s v="Transport"/>
    <x v="40"/>
    <n v="1613"/>
    <x v="1"/>
    <n v="9944"/>
  </r>
  <r>
    <n v="42"/>
    <s v="ORD0042"/>
    <s v="INV0042"/>
    <x v="4"/>
    <x v="0"/>
    <s v="Sunrise Ltd"/>
    <s v="GST76035"/>
    <x v="3"/>
    <s v="49, Main Street"/>
    <s v="Mumbai"/>
    <s v="Maharashtra"/>
    <x v="2"/>
    <x v="3"/>
    <s v="Courier"/>
    <x v="41"/>
    <n v="19649"/>
    <x v="1"/>
    <n v="29634"/>
  </r>
  <r>
    <n v="43"/>
    <s v="ORD0043"/>
    <s v="INV0043"/>
    <x v="8"/>
    <x v="2"/>
    <s v="Sunrise Ltd"/>
    <s v="GST19404"/>
    <x v="1"/>
    <s v="87, Main Street"/>
    <s v="Bangalore"/>
    <s v="Karnataka"/>
    <x v="0"/>
    <x v="2"/>
    <s v="Courier"/>
    <x v="42"/>
    <n v="3016"/>
    <x v="1"/>
    <n v="2606"/>
  </r>
  <r>
    <n v="44"/>
    <s v="ORD0044"/>
    <s v="INV0044"/>
    <x v="4"/>
    <x v="0"/>
    <s v="XYZ Corp"/>
    <s v="GST13362"/>
    <x v="2"/>
    <s v="45, Main Street"/>
    <s v="Delhi"/>
    <s v="Delhi"/>
    <x v="1"/>
    <x v="2"/>
    <s v="Courier"/>
    <x v="43"/>
    <n v="6412"/>
    <x v="1"/>
    <n v="16600"/>
  </r>
  <r>
    <n v="45"/>
    <s v="ORD0045"/>
    <s v="INV0045"/>
    <x v="8"/>
    <x v="2"/>
    <s v="XYZ Corp"/>
    <s v="GST39176"/>
    <x v="0"/>
    <s v="72, Main Street"/>
    <s v="Pune"/>
    <s v="Maharashtra"/>
    <x v="2"/>
    <x v="1"/>
    <s v="Courier"/>
    <x v="44"/>
    <n v="14981"/>
    <x v="1"/>
    <n v="17110"/>
  </r>
  <r>
    <n v="46"/>
    <s v="ORD0046"/>
    <s v="INV0046"/>
    <x v="4"/>
    <x v="0"/>
    <s v="Tech Solutions"/>
    <s v="GST41503"/>
    <x v="4"/>
    <s v="4, Main Street"/>
    <s v="Chennai"/>
    <s v="Tamil Nadu"/>
    <x v="0"/>
    <x v="0"/>
    <s v="Transport"/>
    <x v="45"/>
    <n v="17317"/>
    <x v="1"/>
    <n v="2229"/>
  </r>
  <r>
    <n v="47"/>
    <s v="ORD0047"/>
    <s v="INV0047"/>
    <x v="7"/>
    <x v="3"/>
    <s v="Global Traders"/>
    <s v="GST45388"/>
    <x v="4"/>
    <s v="16, Main Street"/>
    <s v="Delhi"/>
    <s v="Delhi"/>
    <x v="1"/>
    <x v="2"/>
    <s v="Hand Delivery"/>
    <x v="46"/>
    <n v="17685"/>
    <x v="1"/>
    <n v="14624"/>
  </r>
  <r>
    <n v="48"/>
    <s v="ORD0048"/>
    <s v="INV0048"/>
    <x v="0"/>
    <x v="0"/>
    <s v="Tech Solutions"/>
    <s v="GST98775"/>
    <x v="2"/>
    <s v="35, Main Street"/>
    <s v="Chennai"/>
    <s v="Tamil Nadu"/>
    <x v="0"/>
    <x v="1"/>
    <s v="Hand Delivery"/>
    <x v="47"/>
    <n v="35612"/>
    <x v="1"/>
    <n v="7407"/>
  </r>
  <r>
    <n v="49"/>
    <s v="ORD0049"/>
    <s v="INV0049"/>
    <x v="0"/>
    <x v="0"/>
    <s v="Tech Solutions"/>
    <s v="GST44586"/>
    <x v="1"/>
    <s v="7, Main Street"/>
    <s v="Delhi"/>
    <s v="Delhi"/>
    <x v="1"/>
    <x v="1"/>
    <s v="Courier"/>
    <x v="48"/>
    <n v="4160"/>
    <x v="1"/>
    <n v="17986"/>
  </r>
  <r>
    <n v="50"/>
    <s v="ORD0050"/>
    <s v="INV0050"/>
    <x v="3"/>
    <x v="2"/>
    <s v="Tech Solutions"/>
    <s v="GST61655"/>
    <x v="3"/>
    <s v="13, Main Street"/>
    <s v="Delhi"/>
    <s v="Delhi"/>
    <x v="1"/>
    <x v="0"/>
    <s v="Courier"/>
    <x v="49"/>
    <n v="13418"/>
    <x v="1"/>
    <n v="3434"/>
  </r>
  <r>
    <n v="51"/>
    <s v="ORD0051"/>
    <s v="INV0051"/>
    <x v="1"/>
    <x v="0"/>
    <s v="Tech Solutions"/>
    <s v="GST46104"/>
    <x v="2"/>
    <s v="16, Main Street"/>
    <s v="Chennai"/>
    <s v="Tamil Nadu"/>
    <x v="0"/>
    <x v="0"/>
    <s v="Transport"/>
    <x v="50"/>
    <n v="5728"/>
    <x v="1"/>
    <n v="31392"/>
  </r>
  <r>
    <n v="52"/>
    <s v="ORD0052"/>
    <s v="INV0052"/>
    <x v="6"/>
    <x v="1"/>
    <s v="Sunrise Ltd"/>
    <s v="GST49892"/>
    <x v="4"/>
    <s v="28, Main Street"/>
    <s v="Delhi"/>
    <s v="Delhi"/>
    <x v="1"/>
    <x v="2"/>
    <s v="Courier"/>
    <x v="51"/>
    <n v="29646"/>
    <x v="1"/>
    <n v="355"/>
  </r>
  <r>
    <n v="53"/>
    <s v="ORD0053"/>
    <s v="INV0053"/>
    <x v="4"/>
    <x v="0"/>
    <s v="XYZ Corp"/>
    <s v="GST73156"/>
    <x v="3"/>
    <s v="65, Main Street"/>
    <s v="Delhi"/>
    <s v="Delhi"/>
    <x v="1"/>
    <x v="3"/>
    <s v="Courier"/>
    <x v="52"/>
    <n v="5171"/>
    <x v="1"/>
    <n v="13"/>
  </r>
  <r>
    <n v="54"/>
    <s v="ORD0054"/>
    <s v="INV0054"/>
    <x v="7"/>
    <x v="3"/>
    <s v="ABC Pvt Ltd"/>
    <s v="GST92051"/>
    <x v="0"/>
    <s v="83, Main Street"/>
    <s v="Pune"/>
    <s v="Maharashtra"/>
    <x v="2"/>
    <x v="1"/>
    <s v="Courier"/>
    <x v="53"/>
    <n v="753"/>
    <x v="1"/>
    <n v="5828"/>
  </r>
  <r>
    <n v="55"/>
    <s v="ORD0055"/>
    <s v="INV0055"/>
    <x v="0"/>
    <x v="0"/>
    <s v="Global Traders"/>
    <s v="GST49617"/>
    <x v="3"/>
    <s v="97, Main Street"/>
    <s v="Pune"/>
    <s v="Maharashtra"/>
    <x v="2"/>
    <x v="4"/>
    <s v="Hand Delivery"/>
    <x v="54"/>
    <n v="21030"/>
    <x v="1"/>
    <n v="27266"/>
  </r>
  <r>
    <n v="56"/>
    <s v="ORD0056"/>
    <s v="INV0056"/>
    <x v="4"/>
    <x v="0"/>
    <s v="Tech Solutions"/>
    <s v="GST51853"/>
    <x v="3"/>
    <s v="64, Main Street"/>
    <s v="Bangalore"/>
    <s v="Karnataka"/>
    <x v="0"/>
    <x v="4"/>
    <s v="Hand Delivery"/>
    <x v="55"/>
    <n v="1156"/>
    <x v="1"/>
    <n v="4506"/>
  </r>
  <r>
    <n v="57"/>
    <s v="ORD0057"/>
    <s v="INV0057"/>
    <x v="11"/>
    <x v="2"/>
    <s v="XYZ Corp"/>
    <s v="GST31380"/>
    <x v="2"/>
    <s v="95, Main Street"/>
    <s v="Mumbai"/>
    <s v="Maharashtra"/>
    <x v="2"/>
    <x v="4"/>
    <s v="Courier"/>
    <x v="56"/>
    <n v="1583"/>
    <x v="1"/>
    <n v="11876"/>
  </r>
  <r>
    <n v="58"/>
    <s v="ORD0058"/>
    <s v="INV0058"/>
    <x v="1"/>
    <x v="0"/>
    <s v="XYZ Corp"/>
    <s v="GST65462"/>
    <x v="0"/>
    <s v="47, Main Street"/>
    <s v="Mumbai"/>
    <s v="Maharashtra"/>
    <x v="2"/>
    <x v="3"/>
    <s v="Hand Delivery"/>
    <x v="57"/>
    <n v="6790"/>
    <x v="1"/>
    <n v="8202"/>
  </r>
  <r>
    <n v="59"/>
    <s v="ORD0059"/>
    <s v="INV0059"/>
    <x v="10"/>
    <x v="3"/>
    <s v="XYZ Corp"/>
    <s v="GST42762"/>
    <x v="2"/>
    <s v="11, Main Street"/>
    <s v="Bangalore"/>
    <s v="Karnataka"/>
    <x v="0"/>
    <x v="3"/>
    <s v="Courier"/>
    <x v="58"/>
    <n v="22082"/>
    <x v="1"/>
    <n v="20759"/>
  </r>
  <r>
    <n v="60"/>
    <s v="ORD0060"/>
    <s v="INV0060"/>
    <x v="5"/>
    <x v="1"/>
    <s v="Global Traders"/>
    <s v="GST82748"/>
    <x v="2"/>
    <s v="5, Main Street"/>
    <s v="Bangalore"/>
    <s v="Karnataka"/>
    <x v="0"/>
    <x v="4"/>
    <s v="Transport"/>
    <x v="59"/>
    <n v="929"/>
    <x v="1"/>
    <n v="35382"/>
  </r>
  <r>
    <n v="61"/>
    <s v="ORD0061"/>
    <s v="INV0061"/>
    <x v="11"/>
    <x v="2"/>
    <s v="ABC Pvt Ltd"/>
    <s v="GST56116"/>
    <x v="2"/>
    <s v="4, Main Street"/>
    <s v="Mumbai"/>
    <s v="Maharashtra"/>
    <x v="2"/>
    <x v="3"/>
    <s v="Hand Delivery"/>
    <x v="60"/>
    <n v="149"/>
    <x v="1"/>
    <n v="23832"/>
  </r>
  <r>
    <n v="62"/>
    <s v="ORD0062"/>
    <s v="INV0062"/>
    <x v="10"/>
    <x v="3"/>
    <s v="Tech Solutions"/>
    <s v="GST33995"/>
    <x v="1"/>
    <s v="39, Main Street"/>
    <s v="Delhi"/>
    <s v="Delhi"/>
    <x v="1"/>
    <x v="2"/>
    <s v="Hand Delivery"/>
    <x v="61"/>
    <n v="4959"/>
    <x v="1"/>
    <n v="31961"/>
  </r>
  <r>
    <n v="63"/>
    <s v="ORD0063"/>
    <s v="INV0063"/>
    <x v="10"/>
    <x v="3"/>
    <s v="ABC Pvt Ltd"/>
    <s v="GST36754"/>
    <x v="0"/>
    <s v="27, Main Street"/>
    <s v="Bangalore"/>
    <s v="Karnataka"/>
    <x v="0"/>
    <x v="2"/>
    <s v="Courier"/>
    <x v="62"/>
    <n v="25067"/>
    <x v="1"/>
    <n v="2399"/>
  </r>
  <r>
    <n v="64"/>
    <s v="ORD0064"/>
    <s v="INV0064"/>
    <x v="3"/>
    <x v="2"/>
    <s v="ABC Pvt Ltd"/>
    <s v="GST60147"/>
    <x v="1"/>
    <s v="74, Main Street"/>
    <s v="Delhi"/>
    <s v="Delhi"/>
    <x v="1"/>
    <x v="2"/>
    <s v="Transport"/>
    <x v="63"/>
    <n v="19842"/>
    <x v="1"/>
    <n v="6066"/>
  </r>
  <r>
    <n v="65"/>
    <s v="ORD0065"/>
    <s v="INV0065"/>
    <x v="2"/>
    <x v="1"/>
    <s v="Global Traders"/>
    <s v="GST25477"/>
    <x v="3"/>
    <s v="41, Main Street"/>
    <s v="Mumbai"/>
    <s v="Maharashtra"/>
    <x v="2"/>
    <x v="4"/>
    <s v="Courier"/>
    <x v="64"/>
    <n v="7274"/>
    <x v="1"/>
    <n v="39115"/>
  </r>
  <r>
    <n v="66"/>
    <s v="ORD0066"/>
    <s v="INV0066"/>
    <x v="5"/>
    <x v="1"/>
    <s v="ABC Pvt Ltd"/>
    <s v="GST64531"/>
    <x v="3"/>
    <s v="78, Main Street"/>
    <s v="Chennai"/>
    <s v="Tamil Nadu"/>
    <x v="0"/>
    <x v="3"/>
    <s v="Courier"/>
    <x v="65"/>
    <n v="4786"/>
    <x v="1"/>
    <n v="6266"/>
  </r>
  <r>
    <n v="67"/>
    <s v="ORD0067"/>
    <s v="INV0067"/>
    <x v="6"/>
    <x v="1"/>
    <s v="Sunrise Ltd"/>
    <s v="GST34028"/>
    <x v="0"/>
    <s v="31, Main Street"/>
    <s v="Chennai"/>
    <s v="Tamil Nadu"/>
    <x v="0"/>
    <x v="1"/>
    <s v="Hand Delivery"/>
    <x v="66"/>
    <n v="14964"/>
    <x v="1"/>
    <n v="3013"/>
  </r>
  <r>
    <n v="68"/>
    <s v="ORD0068"/>
    <s v="INV0068"/>
    <x v="10"/>
    <x v="3"/>
    <s v="Tech Solutions"/>
    <s v="GST90608"/>
    <x v="0"/>
    <s v="4, Main Street"/>
    <s v="Pune"/>
    <s v="Maharashtra"/>
    <x v="2"/>
    <x v="3"/>
    <s v="Courier"/>
    <x v="67"/>
    <n v="3934"/>
    <x v="1"/>
    <n v="19458"/>
  </r>
  <r>
    <n v="69"/>
    <s v="ORD0069"/>
    <s v="INV0069"/>
    <x v="5"/>
    <x v="1"/>
    <s v="Sunrise Ltd"/>
    <s v="GST94222"/>
    <x v="2"/>
    <s v="59, Main Street"/>
    <s v="Pune"/>
    <s v="Maharashtra"/>
    <x v="2"/>
    <x v="4"/>
    <s v="Courier"/>
    <x v="68"/>
    <n v="14902"/>
    <x v="1"/>
    <n v="5185"/>
  </r>
  <r>
    <n v="70"/>
    <s v="ORD0070"/>
    <s v="INV0070"/>
    <x v="3"/>
    <x v="2"/>
    <s v="Tech Solutions"/>
    <s v="GST39431"/>
    <x v="1"/>
    <s v="40, Main Street"/>
    <s v="Bangalore"/>
    <s v="Karnataka"/>
    <x v="0"/>
    <x v="2"/>
    <s v="Hand Delivery"/>
    <x v="69"/>
    <n v="2918"/>
    <x v="1"/>
    <n v="4057"/>
  </r>
  <r>
    <n v="71"/>
    <s v="ORD0071"/>
    <s v="INV0071"/>
    <x v="9"/>
    <x v="3"/>
    <s v="Global Traders"/>
    <s v="GST76469"/>
    <x v="1"/>
    <s v="7, Main Street"/>
    <s v="Bangalore"/>
    <s v="Karnataka"/>
    <x v="0"/>
    <x v="2"/>
    <s v="Transport"/>
    <x v="70"/>
    <n v="6319"/>
    <x v="1"/>
    <n v="18898"/>
  </r>
  <r>
    <n v="72"/>
    <s v="ORD0072"/>
    <s v="INV0072"/>
    <x v="9"/>
    <x v="3"/>
    <s v="Tech Solutions"/>
    <s v="GST15638"/>
    <x v="4"/>
    <s v="90, Main Street"/>
    <s v="Delhi"/>
    <s v="Delhi"/>
    <x v="1"/>
    <x v="1"/>
    <s v="Courier"/>
    <x v="71"/>
    <n v="46392"/>
    <x v="1"/>
    <n v="2941"/>
  </r>
  <r>
    <n v="73"/>
    <s v="ORD0073"/>
    <s v="INV0073"/>
    <x v="0"/>
    <x v="0"/>
    <s v="Tech Solutions"/>
    <s v="GST80538"/>
    <x v="4"/>
    <s v="37, Main Street"/>
    <s v="Delhi"/>
    <s v="Delhi"/>
    <x v="1"/>
    <x v="2"/>
    <s v="Transport"/>
    <x v="72"/>
    <n v="29398"/>
    <x v="1"/>
    <n v="6273"/>
  </r>
  <r>
    <n v="74"/>
    <s v="ORD0074"/>
    <s v="INV0074"/>
    <x v="4"/>
    <x v="0"/>
    <s v="Tech Solutions"/>
    <s v="GST20947"/>
    <x v="1"/>
    <s v="80, Main Street"/>
    <s v="Chennai"/>
    <s v="Tamil Nadu"/>
    <x v="0"/>
    <x v="3"/>
    <s v="Hand Delivery"/>
    <x v="73"/>
    <n v="37055"/>
    <x v="1"/>
    <n v="6996"/>
  </r>
  <r>
    <n v="75"/>
    <s v="ORD0075"/>
    <s v="INV0075"/>
    <x v="3"/>
    <x v="2"/>
    <s v="ABC Pvt Ltd"/>
    <s v="GST79983"/>
    <x v="3"/>
    <s v="70, Main Street"/>
    <s v="Bangalore"/>
    <s v="Karnataka"/>
    <x v="0"/>
    <x v="4"/>
    <s v="Transport"/>
    <x v="74"/>
    <n v="29581"/>
    <x v="1"/>
    <n v="3226"/>
  </r>
  <r>
    <n v="76"/>
    <s v="ORD0076"/>
    <s v="INV0076"/>
    <x v="2"/>
    <x v="1"/>
    <s v="ABC Pvt Ltd"/>
    <s v="GST68446"/>
    <x v="0"/>
    <s v="73, Main Street"/>
    <s v="Chennai"/>
    <s v="Tamil Nadu"/>
    <x v="0"/>
    <x v="2"/>
    <s v="Transport"/>
    <x v="75"/>
    <n v="8247"/>
    <x v="1"/>
    <n v="14091"/>
  </r>
  <r>
    <n v="77"/>
    <s v="ORD0077"/>
    <s v="INV0077"/>
    <x v="0"/>
    <x v="0"/>
    <s v="XYZ Corp"/>
    <s v="GST34128"/>
    <x v="2"/>
    <s v="44, Main Street"/>
    <s v="Pune"/>
    <s v="Maharashtra"/>
    <x v="2"/>
    <x v="4"/>
    <s v="Transport"/>
    <x v="76"/>
    <n v="21015"/>
    <x v="1"/>
    <n v="4992"/>
  </r>
  <r>
    <n v="78"/>
    <s v="ORD0078"/>
    <s v="INV0078"/>
    <x v="3"/>
    <x v="2"/>
    <s v="Global Traders"/>
    <s v="GST39231"/>
    <x v="2"/>
    <s v="72, Main Street"/>
    <s v="Pune"/>
    <s v="Maharashtra"/>
    <x v="2"/>
    <x v="0"/>
    <s v="Courier"/>
    <x v="77"/>
    <n v="20535"/>
    <x v="1"/>
    <n v="1597"/>
  </r>
  <r>
    <n v="79"/>
    <s v="ORD0079"/>
    <s v="INV0079"/>
    <x v="9"/>
    <x v="3"/>
    <s v="Global Traders"/>
    <s v="GST65193"/>
    <x v="3"/>
    <s v="24, Main Street"/>
    <s v="Pune"/>
    <s v="Maharashtra"/>
    <x v="2"/>
    <x v="2"/>
    <s v="Hand Delivery"/>
    <x v="78"/>
    <n v="13053"/>
    <x v="1"/>
    <n v="34830"/>
  </r>
  <r>
    <n v="80"/>
    <s v="ORD0080"/>
    <s v="INV0080"/>
    <x v="6"/>
    <x v="1"/>
    <s v="Global Traders"/>
    <s v="GST67754"/>
    <x v="2"/>
    <s v="17, Main Street"/>
    <s v="Pune"/>
    <s v="Maharashtra"/>
    <x v="2"/>
    <x v="3"/>
    <s v="Hand Delivery"/>
    <x v="79"/>
    <n v="9405"/>
    <x v="1"/>
    <n v="1469"/>
  </r>
  <r>
    <n v="81"/>
    <s v="ORD0081"/>
    <s v="INV0081"/>
    <x v="3"/>
    <x v="2"/>
    <s v="Tech Solutions"/>
    <s v="GST48395"/>
    <x v="1"/>
    <s v="47, Main Street"/>
    <s v="Mumbai"/>
    <s v="Maharashtra"/>
    <x v="2"/>
    <x v="4"/>
    <s v="Transport"/>
    <x v="80"/>
    <n v="1132"/>
    <x v="1"/>
    <n v="10460"/>
  </r>
  <r>
    <n v="82"/>
    <s v="ORD0082"/>
    <s v="INV0082"/>
    <x v="9"/>
    <x v="3"/>
    <s v="XYZ Corp"/>
    <s v="GST51348"/>
    <x v="3"/>
    <s v="20, Main Street"/>
    <s v="Bangalore"/>
    <s v="Karnataka"/>
    <x v="0"/>
    <x v="4"/>
    <s v="Transport"/>
    <x v="81"/>
    <n v="21884"/>
    <x v="1"/>
    <n v="4778"/>
  </r>
  <r>
    <n v="83"/>
    <s v="ORD0083"/>
    <s v="INV0083"/>
    <x v="6"/>
    <x v="1"/>
    <s v="Global Traders"/>
    <s v="GST66039"/>
    <x v="2"/>
    <s v="21, Main Street"/>
    <s v="Mumbai"/>
    <s v="Maharashtra"/>
    <x v="2"/>
    <x v="1"/>
    <s v="Hand Delivery"/>
    <x v="82"/>
    <n v="39932"/>
    <x v="1"/>
    <n v="7384"/>
  </r>
  <r>
    <n v="84"/>
    <s v="ORD0084"/>
    <s v="INV0084"/>
    <x v="7"/>
    <x v="3"/>
    <s v="Global Traders"/>
    <s v="GST84349"/>
    <x v="1"/>
    <s v="8, Main Street"/>
    <s v="Mumbai"/>
    <s v="Maharashtra"/>
    <x v="2"/>
    <x v="2"/>
    <s v="Hand Delivery"/>
    <x v="83"/>
    <n v="17663"/>
    <x v="1"/>
    <n v="4342"/>
  </r>
  <r>
    <n v="85"/>
    <s v="ORD0085"/>
    <s v="INV0085"/>
    <x v="8"/>
    <x v="2"/>
    <s v="XYZ Corp"/>
    <s v="GST68369"/>
    <x v="3"/>
    <s v="86, Main Street"/>
    <s v="Mumbai"/>
    <s v="Maharashtra"/>
    <x v="2"/>
    <x v="1"/>
    <s v="Hand Delivery"/>
    <x v="84"/>
    <n v="37435"/>
    <x v="1"/>
    <n v="9086"/>
  </r>
  <r>
    <n v="86"/>
    <s v="ORD0086"/>
    <s v="INV0086"/>
    <x v="5"/>
    <x v="1"/>
    <s v="Sunrise Ltd"/>
    <s v="GST90430"/>
    <x v="0"/>
    <s v="26, Main Street"/>
    <s v="Delhi"/>
    <s v="Delhi"/>
    <x v="1"/>
    <x v="0"/>
    <s v="Courier"/>
    <x v="85"/>
    <n v="14059"/>
    <x v="1"/>
    <n v="1827"/>
  </r>
  <r>
    <n v="87"/>
    <s v="ORD0087"/>
    <s v="INV0087"/>
    <x v="10"/>
    <x v="3"/>
    <s v="Tech Solutions"/>
    <s v="GST88358"/>
    <x v="3"/>
    <s v="79, Main Street"/>
    <s v="Bangalore"/>
    <s v="Karnataka"/>
    <x v="0"/>
    <x v="2"/>
    <s v="Hand Delivery"/>
    <x v="86"/>
    <n v="14301"/>
    <x v="1"/>
    <n v="21643"/>
  </r>
  <r>
    <n v="88"/>
    <s v="ORD0088"/>
    <s v="INV0088"/>
    <x v="2"/>
    <x v="1"/>
    <s v="Global Traders"/>
    <s v="GST77619"/>
    <x v="0"/>
    <s v="35, Main Street"/>
    <s v="Chennai"/>
    <s v="Tamil Nadu"/>
    <x v="0"/>
    <x v="3"/>
    <s v="Hand Delivery"/>
    <x v="87"/>
    <n v="31063"/>
    <x v="1"/>
    <n v="13710"/>
  </r>
  <r>
    <n v="89"/>
    <s v="ORD0089"/>
    <s v="INV0089"/>
    <x v="5"/>
    <x v="1"/>
    <s v="Sunrise Ltd"/>
    <s v="GST77076"/>
    <x v="3"/>
    <s v="27, Main Street"/>
    <s v="Chennai"/>
    <s v="Tamil Nadu"/>
    <x v="0"/>
    <x v="2"/>
    <s v="Transport"/>
    <x v="88"/>
    <n v="12967"/>
    <x v="1"/>
    <n v="19848"/>
  </r>
  <r>
    <n v="90"/>
    <s v="ORD0090"/>
    <s v="INV0090"/>
    <x v="10"/>
    <x v="3"/>
    <s v="Sunrise Ltd"/>
    <s v="GST18230"/>
    <x v="2"/>
    <s v="89, Main Street"/>
    <s v="Pune"/>
    <s v="Maharashtra"/>
    <x v="2"/>
    <x v="0"/>
    <s v="Transport"/>
    <x v="89"/>
    <n v="2948"/>
    <x v="1"/>
    <n v="9841"/>
  </r>
  <r>
    <n v="91"/>
    <s v="ORD0091"/>
    <s v="INV0091"/>
    <x v="8"/>
    <x v="2"/>
    <s v="Global Traders"/>
    <s v="GST69956"/>
    <x v="4"/>
    <s v="5, Main Street"/>
    <s v="Mumbai"/>
    <s v="Maharashtra"/>
    <x v="2"/>
    <x v="3"/>
    <s v="Hand Delivery"/>
    <x v="90"/>
    <n v="15539"/>
    <x v="1"/>
    <n v="26753"/>
  </r>
  <r>
    <n v="92"/>
    <s v="ORD0092"/>
    <s v="INV0092"/>
    <x v="6"/>
    <x v="1"/>
    <s v="Global Traders"/>
    <s v="GST85784"/>
    <x v="0"/>
    <s v="31, Main Street"/>
    <s v="Pune"/>
    <s v="Maharashtra"/>
    <x v="2"/>
    <x v="1"/>
    <s v="Courier"/>
    <x v="91"/>
    <n v="20316"/>
    <x v="1"/>
    <n v="13769"/>
  </r>
  <r>
    <n v="93"/>
    <s v="ORD0093"/>
    <s v="INV0093"/>
    <x v="8"/>
    <x v="2"/>
    <s v="Tech Solutions"/>
    <s v="GST84421"/>
    <x v="2"/>
    <s v="10, Main Street"/>
    <s v="Chennai"/>
    <s v="Tamil Nadu"/>
    <x v="0"/>
    <x v="0"/>
    <s v="Courier"/>
    <x v="92"/>
    <n v="2510"/>
    <x v="1"/>
    <n v="3746"/>
  </r>
  <r>
    <n v="94"/>
    <s v="ORD0094"/>
    <s v="INV0094"/>
    <x v="2"/>
    <x v="1"/>
    <s v="XYZ Corp"/>
    <s v="GST12566"/>
    <x v="1"/>
    <s v="89, Main Street"/>
    <s v="Delhi"/>
    <s v="Delhi"/>
    <x v="1"/>
    <x v="1"/>
    <s v="Hand Delivery"/>
    <x v="93"/>
    <n v="3811"/>
    <x v="1"/>
    <n v="38993"/>
  </r>
  <r>
    <n v="95"/>
    <s v="ORD0095"/>
    <s v="INV0095"/>
    <x v="4"/>
    <x v="0"/>
    <s v="Sunrise Ltd"/>
    <s v="GST89577"/>
    <x v="3"/>
    <s v="19, Main Street"/>
    <s v="Bangalore"/>
    <s v="Karnataka"/>
    <x v="0"/>
    <x v="1"/>
    <s v="Courier"/>
    <x v="94"/>
    <n v="5926"/>
    <x v="1"/>
    <n v="546"/>
  </r>
  <r>
    <n v="96"/>
    <s v="ORD0096"/>
    <s v="INV0096"/>
    <x v="10"/>
    <x v="3"/>
    <s v="Global Traders"/>
    <s v="GST62911"/>
    <x v="1"/>
    <s v="96, Main Street"/>
    <s v="Chennai"/>
    <s v="Tamil Nadu"/>
    <x v="0"/>
    <x v="4"/>
    <s v="Hand Delivery"/>
    <x v="95"/>
    <n v="1527"/>
    <x v="1"/>
    <n v="26144"/>
  </r>
  <r>
    <n v="97"/>
    <s v="ORD0097"/>
    <s v="INV0097"/>
    <x v="4"/>
    <x v="0"/>
    <s v="ABC Pvt Ltd"/>
    <s v="GST41927"/>
    <x v="0"/>
    <s v="26, Main Street"/>
    <s v="Delhi"/>
    <s v="Delhi"/>
    <x v="1"/>
    <x v="4"/>
    <s v="Transport"/>
    <x v="96"/>
    <n v="7859"/>
    <x v="1"/>
    <n v="1977"/>
  </r>
  <r>
    <n v="98"/>
    <s v="ORD0098"/>
    <s v="INV0098"/>
    <x v="0"/>
    <x v="0"/>
    <s v="Tech Solutions"/>
    <s v="GST82587"/>
    <x v="3"/>
    <s v="20, Main Street"/>
    <s v="Mumbai"/>
    <s v="Maharashtra"/>
    <x v="2"/>
    <x v="2"/>
    <s v="Hand Delivery"/>
    <x v="97"/>
    <n v="42840"/>
    <x v="1"/>
    <n v="3484"/>
  </r>
  <r>
    <n v="99"/>
    <s v="ORD0099"/>
    <s v="INV0099"/>
    <x v="5"/>
    <x v="1"/>
    <s v="ABC Pvt Ltd"/>
    <s v="GST91122"/>
    <x v="2"/>
    <s v="11, Main Street"/>
    <s v="Bangalore"/>
    <s v="Karnataka"/>
    <x v="0"/>
    <x v="3"/>
    <s v="Transport"/>
    <x v="98"/>
    <n v="17200"/>
    <x v="1"/>
    <n v="15975"/>
  </r>
  <r>
    <n v="100"/>
    <s v="ORD0100"/>
    <s v="INV0100"/>
    <x v="0"/>
    <x v="0"/>
    <s v="Global Traders"/>
    <s v="GST39192"/>
    <x v="0"/>
    <s v="19, Main Street"/>
    <s v="Bangalore"/>
    <s v="Karnataka"/>
    <x v="0"/>
    <x v="4"/>
    <s v="Hand Delivery"/>
    <x v="99"/>
    <n v="3773"/>
    <x v="1"/>
    <n v="8506"/>
  </r>
  <r>
    <n v="101"/>
    <s v="ORD0101"/>
    <s v="INV0101"/>
    <x v="2"/>
    <x v="1"/>
    <s v="ABC Pvt Ltd"/>
    <s v="GST21835"/>
    <x v="4"/>
    <s v="74, Main Street"/>
    <s v="Pune"/>
    <s v="Maharashtra"/>
    <x v="2"/>
    <x v="3"/>
    <s v="Transport"/>
    <x v="100"/>
    <n v="12794"/>
    <x v="1"/>
    <n v="6354"/>
  </r>
  <r>
    <n v="102"/>
    <s v="ORD0102"/>
    <s v="INV0102"/>
    <x v="0"/>
    <x v="0"/>
    <s v="Global Traders"/>
    <s v="GST39697"/>
    <x v="4"/>
    <s v="13, Main Street"/>
    <s v="Bangalore"/>
    <s v="Karnataka"/>
    <x v="0"/>
    <x v="2"/>
    <s v="Transport"/>
    <x v="101"/>
    <n v="1492"/>
    <x v="1"/>
    <n v="5336"/>
  </r>
  <r>
    <n v="103"/>
    <s v="ORD0103"/>
    <s v="INV0103"/>
    <x v="9"/>
    <x v="3"/>
    <s v="ABC Pvt Ltd"/>
    <s v="GST84553"/>
    <x v="0"/>
    <s v="17, Main Street"/>
    <s v="Pune"/>
    <s v="Maharashtra"/>
    <x v="2"/>
    <x v="0"/>
    <s v="Courier"/>
    <x v="102"/>
    <n v="6195"/>
    <x v="1"/>
    <n v="474"/>
  </r>
  <r>
    <n v="104"/>
    <s v="ORD0104"/>
    <s v="INV0104"/>
    <x v="7"/>
    <x v="3"/>
    <s v="Global Traders"/>
    <s v="GST65409"/>
    <x v="3"/>
    <s v="100, Main Street"/>
    <s v="Chennai"/>
    <s v="Tamil Nadu"/>
    <x v="0"/>
    <x v="1"/>
    <s v="Hand Delivery"/>
    <x v="103"/>
    <n v="38002"/>
    <x v="1"/>
    <n v="10493"/>
  </r>
  <r>
    <n v="105"/>
    <s v="ORD0105"/>
    <s v="INV0105"/>
    <x v="0"/>
    <x v="0"/>
    <s v="Sunrise Ltd"/>
    <s v="GST25850"/>
    <x v="1"/>
    <s v="61, Main Street"/>
    <s v="Pune"/>
    <s v="Maharashtra"/>
    <x v="2"/>
    <x v="0"/>
    <s v="Courier"/>
    <x v="104"/>
    <n v="4193"/>
    <x v="1"/>
    <n v="44635"/>
  </r>
  <r>
    <n v="106"/>
    <s v="ORD0106"/>
    <s v="INV0106"/>
    <x v="11"/>
    <x v="2"/>
    <s v="Global Traders"/>
    <s v="GST71767"/>
    <x v="4"/>
    <s v="13, Main Street"/>
    <s v="Delhi"/>
    <s v="Delhi"/>
    <x v="1"/>
    <x v="3"/>
    <s v="Hand Delivery"/>
    <x v="105"/>
    <n v="5954"/>
    <x v="1"/>
    <n v="26606"/>
  </r>
  <r>
    <n v="107"/>
    <s v="ORD0107"/>
    <s v="INV0107"/>
    <x v="9"/>
    <x v="3"/>
    <s v="Sunrise Ltd"/>
    <s v="GST24374"/>
    <x v="0"/>
    <s v="41, Main Street"/>
    <s v="Mumbai"/>
    <s v="Maharashtra"/>
    <x v="2"/>
    <x v="4"/>
    <s v="Transport"/>
    <x v="106"/>
    <n v="20826"/>
    <x v="1"/>
    <n v="124"/>
  </r>
  <r>
    <n v="108"/>
    <s v="ORD0108"/>
    <s v="INV0108"/>
    <x v="6"/>
    <x v="1"/>
    <s v="XYZ Corp"/>
    <s v="GST74631"/>
    <x v="3"/>
    <s v="43, Main Street"/>
    <s v="Chennai"/>
    <s v="Tamil Nadu"/>
    <x v="0"/>
    <x v="1"/>
    <s v="Courier"/>
    <x v="107"/>
    <n v="26760"/>
    <x v="1"/>
    <n v="4363"/>
  </r>
  <r>
    <n v="109"/>
    <s v="ORD0109"/>
    <s v="INV0109"/>
    <x v="11"/>
    <x v="2"/>
    <s v="XYZ Corp"/>
    <s v="GST41835"/>
    <x v="2"/>
    <s v="57, Main Street"/>
    <s v="Delhi"/>
    <s v="Delhi"/>
    <x v="1"/>
    <x v="2"/>
    <s v="Courier"/>
    <x v="108"/>
    <n v="4987"/>
    <x v="1"/>
    <n v="3307"/>
  </r>
  <r>
    <n v="110"/>
    <s v="ORD0110"/>
    <s v="INV0110"/>
    <x v="3"/>
    <x v="2"/>
    <s v="ABC Pvt Ltd"/>
    <s v="GST56607"/>
    <x v="2"/>
    <s v="2, Main Street"/>
    <s v="Delhi"/>
    <s v="Delhi"/>
    <x v="1"/>
    <x v="2"/>
    <s v="Hand Delivery"/>
    <x v="109"/>
    <n v="4373"/>
    <x v="1"/>
    <n v="5213"/>
  </r>
  <r>
    <n v="111"/>
    <s v="ORD0111"/>
    <s v="INV0111"/>
    <x v="9"/>
    <x v="3"/>
    <s v="XYZ Corp"/>
    <s v="GST23935"/>
    <x v="2"/>
    <s v="80, Main Street"/>
    <s v="Bangalore"/>
    <s v="Karnataka"/>
    <x v="0"/>
    <x v="1"/>
    <s v="Transport"/>
    <x v="110"/>
    <n v="6021"/>
    <x v="1"/>
    <n v="6130"/>
  </r>
  <r>
    <n v="112"/>
    <s v="ORD0112"/>
    <s v="INV0112"/>
    <x v="11"/>
    <x v="2"/>
    <s v="Tech Solutions"/>
    <s v="GST28122"/>
    <x v="4"/>
    <s v="35, Main Street"/>
    <s v="Pune"/>
    <s v="Maharashtra"/>
    <x v="2"/>
    <x v="4"/>
    <s v="Transport"/>
    <x v="111"/>
    <n v="14279"/>
    <x v="1"/>
    <n v="18266"/>
  </r>
  <r>
    <n v="113"/>
    <s v="ORD0113"/>
    <s v="INV0113"/>
    <x v="11"/>
    <x v="2"/>
    <s v="Sunrise Ltd"/>
    <s v="GST24966"/>
    <x v="1"/>
    <s v="96, Main Street"/>
    <s v="Delhi"/>
    <s v="Delhi"/>
    <x v="1"/>
    <x v="3"/>
    <s v="Hand Delivery"/>
    <x v="112"/>
    <n v="16851"/>
    <x v="1"/>
    <n v="9023"/>
  </r>
  <r>
    <n v="114"/>
    <s v="ORD0114"/>
    <s v="INV0114"/>
    <x v="0"/>
    <x v="0"/>
    <s v="Sunrise Ltd"/>
    <s v="GST63309"/>
    <x v="3"/>
    <s v="67, Main Street"/>
    <s v="Delhi"/>
    <s v="Delhi"/>
    <x v="1"/>
    <x v="1"/>
    <s v="Hand Delivery"/>
    <x v="113"/>
    <n v="0"/>
    <x v="1"/>
    <n v="14823"/>
  </r>
  <r>
    <n v="115"/>
    <s v="ORD0115"/>
    <s v="INV0115"/>
    <x v="0"/>
    <x v="0"/>
    <s v="Global Traders"/>
    <s v="GST19811"/>
    <x v="4"/>
    <s v="31, Main Street"/>
    <s v="Delhi"/>
    <s v="Delhi"/>
    <x v="1"/>
    <x v="0"/>
    <s v="Hand Delivery"/>
    <x v="114"/>
    <n v="38871"/>
    <x v="1"/>
    <n v="5928"/>
  </r>
  <r>
    <n v="116"/>
    <s v="ORD0116"/>
    <s v="INV0116"/>
    <x v="2"/>
    <x v="1"/>
    <s v="ABC Pvt Ltd"/>
    <s v="GST81168"/>
    <x v="0"/>
    <s v="96, Main Street"/>
    <s v="Delhi"/>
    <s v="Delhi"/>
    <x v="1"/>
    <x v="0"/>
    <s v="Courier"/>
    <x v="115"/>
    <n v="2812"/>
    <x v="1"/>
    <n v="8189"/>
  </r>
  <r>
    <n v="117"/>
    <s v="ORD0117"/>
    <s v="INV0117"/>
    <x v="4"/>
    <x v="0"/>
    <s v="Sunrise Ltd"/>
    <s v="GST14764"/>
    <x v="4"/>
    <s v="30, Main Street"/>
    <s v="Mumbai"/>
    <s v="Maharashtra"/>
    <x v="2"/>
    <x v="4"/>
    <s v="Transport"/>
    <x v="116"/>
    <n v="19194"/>
    <x v="1"/>
    <n v="30531"/>
  </r>
  <r>
    <n v="118"/>
    <s v="ORD0118"/>
    <s v="INV0118"/>
    <x v="2"/>
    <x v="1"/>
    <s v="Tech Solutions"/>
    <s v="GST61426"/>
    <x v="1"/>
    <s v="11, Main Street"/>
    <s v="Delhi"/>
    <s v="Delhi"/>
    <x v="1"/>
    <x v="4"/>
    <s v="Courier"/>
    <x v="117"/>
    <n v="5764"/>
    <x v="1"/>
    <n v="20701"/>
  </r>
  <r>
    <n v="119"/>
    <s v="ORD0119"/>
    <s v="INV0119"/>
    <x v="1"/>
    <x v="0"/>
    <s v="Tech Solutions"/>
    <s v="GST14631"/>
    <x v="0"/>
    <s v="22, Main Street"/>
    <s v="Pune"/>
    <s v="Maharashtra"/>
    <x v="2"/>
    <x v="2"/>
    <s v="Courier"/>
    <x v="118"/>
    <n v="9492"/>
    <x v="1"/>
    <n v="2663"/>
  </r>
  <r>
    <n v="120"/>
    <s v="ORD0120"/>
    <s v="INV0120"/>
    <x v="2"/>
    <x v="1"/>
    <s v="Global Traders"/>
    <s v="GST38387"/>
    <x v="4"/>
    <s v="91, Main Street"/>
    <s v="Chennai"/>
    <s v="Tamil Nadu"/>
    <x v="0"/>
    <x v="4"/>
    <s v="Hand Delivery"/>
    <x v="119"/>
    <n v="32810"/>
    <x v="1"/>
    <n v="7879"/>
  </r>
  <r>
    <n v="121"/>
    <s v="ORD0121"/>
    <s v="INV0121"/>
    <x v="3"/>
    <x v="2"/>
    <s v="Sunrise Ltd"/>
    <s v="GST39603"/>
    <x v="2"/>
    <s v="27, Main Street"/>
    <s v="Chennai"/>
    <s v="Tamil Nadu"/>
    <x v="0"/>
    <x v="3"/>
    <s v="Courier"/>
    <x v="120"/>
    <n v="23533"/>
    <x v="1"/>
    <n v="2390"/>
  </r>
  <r>
    <n v="122"/>
    <s v="ORD0122"/>
    <s v="INV0122"/>
    <x v="2"/>
    <x v="1"/>
    <s v="ABC Pvt Ltd"/>
    <s v="GST85259"/>
    <x v="2"/>
    <s v="68, Main Street"/>
    <s v="Mumbai"/>
    <s v="Maharashtra"/>
    <x v="2"/>
    <x v="3"/>
    <s v="Courier"/>
    <x v="121"/>
    <n v="5537"/>
    <x v="1"/>
    <n v="5457"/>
  </r>
  <r>
    <n v="123"/>
    <s v="ORD0123"/>
    <s v="INV0123"/>
    <x v="11"/>
    <x v="2"/>
    <s v="ABC Pvt Ltd"/>
    <s v="GST33698"/>
    <x v="3"/>
    <s v="91, Main Street"/>
    <s v="Mumbai"/>
    <s v="Maharashtra"/>
    <x v="2"/>
    <x v="4"/>
    <s v="Transport"/>
    <x v="122"/>
    <n v="24597"/>
    <x v="1"/>
    <n v="21237"/>
  </r>
  <r>
    <n v="124"/>
    <s v="ORD0124"/>
    <s v="INV0124"/>
    <x v="9"/>
    <x v="3"/>
    <s v="Sunrise Ltd"/>
    <s v="GST29189"/>
    <x v="1"/>
    <s v="19, Main Street"/>
    <s v="Chennai"/>
    <s v="Tamil Nadu"/>
    <x v="0"/>
    <x v="3"/>
    <s v="Hand Delivery"/>
    <x v="123"/>
    <n v="16945"/>
    <x v="1"/>
    <n v="11423"/>
  </r>
  <r>
    <n v="125"/>
    <s v="ORD0125"/>
    <s v="INV0125"/>
    <x v="10"/>
    <x v="3"/>
    <s v="Sunrise Ltd"/>
    <s v="GST15772"/>
    <x v="2"/>
    <s v="66, Main Street"/>
    <s v="Mumbai"/>
    <s v="Maharashtra"/>
    <x v="2"/>
    <x v="1"/>
    <s v="Hand Delivery"/>
    <x v="124"/>
    <n v="6170"/>
    <x v="1"/>
    <n v="1714"/>
  </r>
  <r>
    <n v="126"/>
    <s v="ORD0126"/>
    <s v="INV0126"/>
    <x v="5"/>
    <x v="1"/>
    <s v="Tech Solutions"/>
    <s v="GST70059"/>
    <x v="2"/>
    <s v="89, Main Street"/>
    <s v="Pune"/>
    <s v="Maharashtra"/>
    <x v="2"/>
    <x v="2"/>
    <s v="Courier"/>
    <x v="125"/>
    <n v="1532"/>
    <x v="1"/>
    <n v="27662"/>
  </r>
  <r>
    <n v="127"/>
    <s v="ORD0127"/>
    <s v="INV0127"/>
    <x v="6"/>
    <x v="1"/>
    <s v="Global Traders"/>
    <s v="GST94702"/>
    <x v="2"/>
    <s v="82, Main Street"/>
    <s v="Chennai"/>
    <s v="Tamil Nadu"/>
    <x v="0"/>
    <x v="0"/>
    <s v="Courier"/>
    <x v="126"/>
    <n v="22149"/>
    <x v="1"/>
    <n v="8059"/>
  </r>
  <r>
    <n v="128"/>
    <s v="ORD0128"/>
    <s v="INV0128"/>
    <x v="7"/>
    <x v="3"/>
    <s v="Tech Solutions"/>
    <s v="GST29518"/>
    <x v="0"/>
    <s v="37, Main Street"/>
    <s v="Mumbai"/>
    <s v="Maharashtra"/>
    <x v="2"/>
    <x v="2"/>
    <s v="Transport"/>
    <x v="127"/>
    <n v="1735"/>
    <x v="1"/>
    <n v="17671"/>
  </r>
  <r>
    <n v="129"/>
    <s v="ORD0129"/>
    <s v="INV0129"/>
    <x v="5"/>
    <x v="1"/>
    <s v="Tech Solutions"/>
    <s v="GST57509"/>
    <x v="4"/>
    <s v="87, Main Street"/>
    <s v="Bangalore"/>
    <s v="Karnataka"/>
    <x v="0"/>
    <x v="0"/>
    <s v="Courier"/>
    <x v="128"/>
    <n v="3971"/>
    <x v="1"/>
    <n v="7188"/>
  </r>
  <r>
    <n v="130"/>
    <s v="ORD0130"/>
    <s v="INV0130"/>
    <x v="4"/>
    <x v="0"/>
    <s v="XYZ Corp"/>
    <s v="GST68864"/>
    <x v="2"/>
    <s v="92, Main Street"/>
    <s v="Pune"/>
    <s v="Maharashtra"/>
    <x v="2"/>
    <x v="4"/>
    <s v="Courier"/>
    <x v="129"/>
    <n v="22457"/>
    <x v="1"/>
    <n v="18589"/>
  </r>
  <r>
    <n v="131"/>
    <s v="ORD0131"/>
    <s v="INV0131"/>
    <x v="10"/>
    <x v="3"/>
    <s v="ABC Pvt Ltd"/>
    <s v="GST52159"/>
    <x v="0"/>
    <s v="55, Main Street"/>
    <s v="Bangalore"/>
    <s v="Karnataka"/>
    <x v="0"/>
    <x v="2"/>
    <s v="Transport"/>
    <x v="130"/>
    <n v="23245"/>
    <x v="1"/>
    <n v="8740"/>
  </r>
  <r>
    <n v="132"/>
    <s v="ORD0132"/>
    <s v="INV0132"/>
    <x v="8"/>
    <x v="2"/>
    <s v="Tech Solutions"/>
    <s v="GST58650"/>
    <x v="4"/>
    <s v="81, Main Street"/>
    <s v="Mumbai"/>
    <s v="Maharashtra"/>
    <x v="2"/>
    <x v="0"/>
    <s v="Courier"/>
    <x v="131"/>
    <n v="42845"/>
    <x v="1"/>
    <n v="630"/>
  </r>
  <r>
    <n v="133"/>
    <s v="ORD0133"/>
    <s v="INV0133"/>
    <x v="4"/>
    <x v="0"/>
    <s v="Global Traders"/>
    <s v="GST24708"/>
    <x v="3"/>
    <s v="79, Main Street"/>
    <s v="Bangalore"/>
    <s v="Karnataka"/>
    <x v="0"/>
    <x v="4"/>
    <s v="Transport"/>
    <x v="132"/>
    <n v="14049"/>
    <x v="1"/>
    <n v="31122"/>
  </r>
  <r>
    <n v="134"/>
    <s v="ORD0134"/>
    <s v="INV0134"/>
    <x v="8"/>
    <x v="2"/>
    <s v="ABC Pvt Ltd"/>
    <s v="GST17644"/>
    <x v="1"/>
    <s v="74, Main Street"/>
    <s v="Delhi"/>
    <s v="Delhi"/>
    <x v="1"/>
    <x v="2"/>
    <s v="Transport"/>
    <x v="133"/>
    <n v="41737"/>
    <x v="1"/>
    <n v="1245"/>
  </r>
  <r>
    <n v="135"/>
    <s v="ORD0135"/>
    <s v="INV0135"/>
    <x v="11"/>
    <x v="2"/>
    <s v="Global Traders"/>
    <s v="GST20628"/>
    <x v="1"/>
    <s v="72, Main Street"/>
    <s v="Pune"/>
    <s v="Maharashtra"/>
    <x v="2"/>
    <x v="1"/>
    <s v="Courier"/>
    <x v="134"/>
    <n v="7376"/>
    <x v="1"/>
    <n v="32271"/>
  </r>
  <r>
    <n v="136"/>
    <s v="ORD0136"/>
    <s v="INV0136"/>
    <x v="7"/>
    <x v="3"/>
    <s v="XYZ Corp"/>
    <s v="GST84287"/>
    <x v="1"/>
    <s v="14, Main Street"/>
    <s v="Mumbai"/>
    <s v="Maharashtra"/>
    <x v="2"/>
    <x v="3"/>
    <s v="Hand Delivery"/>
    <x v="135"/>
    <n v="11998"/>
    <x v="1"/>
    <n v="583"/>
  </r>
  <r>
    <n v="137"/>
    <s v="ORD0137"/>
    <s v="INV0137"/>
    <x v="4"/>
    <x v="0"/>
    <s v="Tech Solutions"/>
    <s v="GST73358"/>
    <x v="0"/>
    <s v="67, Main Street"/>
    <s v="Bangalore"/>
    <s v="Karnataka"/>
    <x v="0"/>
    <x v="2"/>
    <s v="Transport"/>
    <x v="136"/>
    <n v="30156"/>
    <x v="1"/>
    <n v="388"/>
  </r>
  <r>
    <n v="138"/>
    <s v="ORD0138"/>
    <s v="INV0138"/>
    <x v="7"/>
    <x v="3"/>
    <s v="Global Traders"/>
    <s v="GST35966"/>
    <x v="0"/>
    <s v="38, Main Street"/>
    <s v="Pune"/>
    <s v="Maharashtra"/>
    <x v="2"/>
    <x v="0"/>
    <s v="Hand Delivery"/>
    <x v="137"/>
    <n v="19173"/>
    <x v="1"/>
    <n v="23805"/>
  </r>
  <r>
    <n v="139"/>
    <s v="ORD0139"/>
    <s v="INV0139"/>
    <x v="1"/>
    <x v="0"/>
    <s v="XYZ Corp"/>
    <s v="GST98492"/>
    <x v="3"/>
    <s v="5, Main Street"/>
    <s v="Mumbai"/>
    <s v="Maharashtra"/>
    <x v="2"/>
    <x v="1"/>
    <s v="Transport"/>
    <x v="138"/>
    <n v="10568"/>
    <x v="1"/>
    <n v="31483"/>
  </r>
  <r>
    <n v="140"/>
    <s v="ORD0140"/>
    <s v="INV0140"/>
    <x v="2"/>
    <x v="1"/>
    <s v="ABC Pvt Ltd"/>
    <s v="GST18902"/>
    <x v="2"/>
    <s v="17, Main Street"/>
    <s v="Mumbai"/>
    <s v="Maharashtra"/>
    <x v="2"/>
    <x v="0"/>
    <s v="Transport"/>
    <x v="139"/>
    <n v="5440"/>
    <x v="1"/>
    <n v="8398"/>
  </r>
  <r>
    <n v="141"/>
    <s v="ORD0141"/>
    <s v="INV0141"/>
    <x v="11"/>
    <x v="2"/>
    <s v="Tech Solutions"/>
    <s v="GST32392"/>
    <x v="1"/>
    <s v="48, Main Street"/>
    <s v="Delhi"/>
    <s v="Delhi"/>
    <x v="1"/>
    <x v="2"/>
    <s v="Courier"/>
    <x v="140"/>
    <n v="46300"/>
    <x v="1"/>
    <n v="2125"/>
  </r>
  <r>
    <n v="142"/>
    <s v="ORD0142"/>
    <s v="INV0142"/>
    <x v="10"/>
    <x v="3"/>
    <s v="XYZ Corp"/>
    <s v="GST30727"/>
    <x v="4"/>
    <s v="15, Main Street"/>
    <s v="Pune"/>
    <s v="Maharashtra"/>
    <x v="2"/>
    <x v="0"/>
    <s v="Courier"/>
    <x v="141"/>
    <n v="19666"/>
    <x v="1"/>
    <n v="27946"/>
  </r>
  <r>
    <n v="143"/>
    <s v="ORD0143"/>
    <s v="INV0143"/>
    <x v="8"/>
    <x v="2"/>
    <s v="Global Traders"/>
    <s v="GST71085"/>
    <x v="2"/>
    <s v="1, Main Street"/>
    <s v="Chennai"/>
    <s v="Tamil Nadu"/>
    <x v="0"/>
    <x v="1"/>
    <s v="Hand Delivery"/>
    <x v="142"/>
    <n v="24022"/>
    <x v="1"/>
    <n v="6215"/>
  </r>
  <r>
    <n v="144"/>
    <s v="ORD0144"/>
    <s v="INV0144"/>
    <x v="7"/>
    <x v="3"/>
    <s v="ABC Pvt Ltd"/>
    <s v="GST75863"/>
    <x v="2"/>
    <s v="45, Main Street"/>
    <s v="Bangalore"/>
    <s v="Karnataka"/>
    <x v="0"/>
    <x v="2"/>
    <s v="Courier"/>
    <x v="143"/>
    <n v="24187"/>
    <x v="1"/>
    <n v="143"/>
  </r>
  <r>
    <n v="145"/>
    <s v="ORD0145"/>
    <s v="INV0145"/>
    <x v="11"/>
    <x v="2"/>
    <s v="Global Traders"/>
    <s v="GST69866"/>
    <x v="3"/>
    <s v="37, Main Street"/>
    <s v="Delhi"/>
    <s v="Delhi"/>
    <x v="1"/>
    <x v="1"/>
    <s v="Courier"/>
    <x v="144"/>
    <n v="1672"/>
    <x v="1"/>
    <n v="8742"/>
  </r>
  <r>
    <n v="146"/>
    <s v="ORD0146"/>
    <s v="INV0146"/>
    <x v="4"/>
    <x v="0"/>
    <s v="Global Traders"/>
    <s v="GST55066"/>
    <x v="2"/>
    <s v="32, Main Street"/>
    <s v="Pune"/>
    <s v="Maharashtra"/>
    <x v="2"/>
    <x v="1"/>
    <s v="Hand Delivery"/>
    <x v="145"/>
    <n v="8763"/>
    <x v="1"/>
    <n v="19124"/>
  </r>
  <r>
    <n v="147"/>
    <s v="ORD0147"/>
    <s v="INV0147"/>
    <x v="5"/>
    <x v="1"/>
    <s v="XYZ Corp"/>
    <s v="GST25155"/>
    <x v="3"/>
    <s v="77, Main Street"/>
    <s v="Chennai"/>
    <s v="Tamil Nadu"/>
    <x v="0"/>
    <x v="0"/>
    <s v="Hand Delivery"/>
    <x v="146"/>
    <n v="13263"/>
    <x v="1"/>
    <n v="7727"/>
  </r>
  <r>
    <n v="148"/>
    <s v="ORD0148"/>
    <s v="INV0148"/>
    <x v="10"/>
    <x v="3"/>
    <s v="ABC Pvt Ltd"/>
    <s v="GST13422"/>
    <x v="2"/>
    <s v="17, Main Street"/>
    <s v="Bangalore"/>
    <s v="Karnataka"/>
    <x v="0"/>
    <x v="4"/>
    <s v="Courier"/>
    <x v="147"/>
    <n v="7302"/>
    <x v="1"/>
    <n v="41307"/>
  </r>
  <r>
    <n v="149"/>
    <s v="ORD0149"/>
    <s v="INV0149"/>
    <x v="10"/>
    <x v="3"/>
    <s v="Tech Solutions"/>
    <s v="GST40045"/>
    <x v="1"/>
    <s v="54, Main Street"/>
    <s v="Bangalore"/>
    <s v="Karnataka"/>
    <x v="0"/>
    <x v="4"/>
    <s v="Courier"/>
    <x v="148"/>
    <n v="18141"/>
    <x v="1"/>
    <n v="24812"/>
  </r>
  <r>
    <n v="150"/>
    <s v="ORD0150"/>
    <s v="INV0150"/>
    <x v="5"/>
    <x v="1"/>
    <s v="XYZ Corp"/>
    <s v="GST35401"/>
    <x v="3"/>
    <s v="51, Main Street"/>
    <s v="Delhi"/>
    <s v="Delhi"/>
    <x v="1"/>
    <x v="2"/>
    <s v="Transport"/>
    <x v="149"/>
    <n v="27605"/>
    <x v="1"/>
    <n v="21592"/>
  </r>
  <r>
    <n v="151"/>
    <s v="ORD0151"/>
    <s v="INV0151"/>
    <x v="4"/>
    <x v="0"/>
    <s v="Global Traders"/>
    <s v="GST15388"/>
    <x v="0"/>
    <s v="85, Main Street"/>
    <s v="Mumbai"/>
    <s v="Maharashtra"/>
    <x v="2"/>
    <x v="2"/>
    <s v="Courier"/>
    <x v="150"/>
    <n v="4084"/>
    <x v="1"/>
    <n v="2425"/>
  </r>
  <r>
    <n v="152"/>
    <s v="ORD0152"/>
    <s v="INV0152"/>
    <x v="3"/>
    <x v="2"/>
    <s v="XYZ Corp"/>
    <s v="GST63754"/>
    <x v="1"/>
    <s v="66, Main Street"/>
    <s v="Pune"/>
    <s v="Maharashtra"/>
    <x v="2"/>
    <x v="0"/>
    <s v="Transport"/>
    <x v="151"/>
    <n v="5221"/>
    <x v="1"/>
    <n v="39650"/>
  </r>
  <r>
    <n v="153"/>
    <s v="ORD0153"/>
    <s v="INV0153"/>
    <x v="3"/>
    <x v="2"/>
    <s v="Global Traders"/>
    <s v="GST88402"/>
    <x v="4"/>
    <s v="61, Main Street"/>
    <s v="Chennai"/>
    <s v="Tamil Nadu"/>
    <x v="0"/>
    <x v="3"/>
    <s v="Transport"/>
    <x v="152"/>
    <n v="10543"/>
    <x v="1"/>
    <n v="24068"/>
  </r>
  <r>
    <n v="154"/>
    <s v="ORD0154"/>
    <s v="INV0154"/>
    <x v="1"/>
    <x v="0"/>
    <s v="Sunrise Ltd"/>
    <s v="GST17320"/>
    <x v="3"/>
    <s v="23, Main Street"/>
    <s v="Mumbai"/>
    <s v="Maharashtra"/>
    <x v="2"/>
    <x v="0"/>
    <s v="Hand Delivery"/>
    <x v="153"/>
    <n v="984"/>
    <x v="1"/>
    <n v="12055"/>
  </r>
  <r>
    <n v="155"/>
    <s v="ORD0155"/>
    <s v="INV0155"/>
    <x v="1"/>
    <x v="0"/>
    <s v="XYZ Corp"/>
    <s v="GST38645"/>
    <x v="2"/>
    <s v="96, Main Street"/>
    <s v="Chennai"/>
    <s v="Tamil Nadu"/>
    <x v="0"/>
    <x v="1"/>
    <s v="Transport"/>
    <x v="154"/>
    <n v="14561"/>
    <x v="1"/>
    <n v="11797"/>
  </r>
  <r>
    <n v="156"/>
    <s v="ORD0156"/>
    <s v="INV0156"/>
    <x v="7"/>
    <x v="3"/>
    <s v="Sunrise Ltd"/>
    <s v="GST69013"/>
    <x v="2"/>
    <s v="68, Main Street"/>
    <s v="Bangalore"/>
    <s v="Karnataka"/>
    <x v="0"/>
    <x v="0"/>
    <s v="Transport"/>
    <x v="155"/>
    <n v="15260"/>
    <x v="1"/>
    <n v="2840"/>
  </r>
  <r>
    <n v="157"/>
    <s v="ORD0157"/>
    <s v="INV0157"/>
    <x v="2"/>
    <x v="1"/>
    <s v="XYZ Corp"/>
    <s v="GST80889"/>
    <x v="1"/>
    <s v="9, Main Street"/>
    <s v="Pune"/>
    <s v="Maharashtra"/>
    <x v="2"/>
    <x v="0"/>
    <s v="Hand Delivery"/>
    <x v="156"/>
    <n v="34261"/>
    <x v="1"/>
    <n v="4007"/>
  </r>
  <r>
    <n v="158"/>
    <s v="ORD0158"/>
    <s v="INV0158"/>
    <x v="6"/>
    <x v="1"/>
    <s v="Tech Solutions"/>
    <s v="GST39520"/>
    <x v="4"/>
    <s v="56, Main Street"/>
    <s v="Mumbai"/>
    <s v="Maharashtra"/>
    <x v="2"/>
    <x v="2"/>
    <s v="Hand Delivery"/>
    <x v="157"/>
    <n v="27048"/>
    <x v="1"/>
    <n v="16074"/>
  </r>
  <r>
    <n v="159"/>
    <s v="ORD0159"/>
    <s v="INV0159"/>
    <x v="4"/>
    <x v="0"/>
    <s v="XYZ Corp"/>
    <s v="GST62643"/>
    <x v="3"/>
    <s v="36, Main Street"/>
    <s v="Delhi"/>
    <s v="Delhi"/>
    <x v="1"/>
    <x v="2"/>
    <s v="Courier"/>
    <x v="158"/>
    <n v="2730"/>
    <x v="1"/>
    <n v="24872"/>
  </r>
  <r>
    <n v="160"/>
    <s v="ORD0160"/>
    <s v="INV0160"/>
    <x v="1"/>
    <x v="0"/>
    <s v="ABC Pvt Ltd"/>
    <s v="GST74021"/>
    <x v="4"/>
    <s v="66, Main Street"/>
    <s v="Bangalore"/>
    <s v="Karnataka"/>
    <x v="0"/>
    <x v="0"/>
    <s v="Hand Delivery"/>
    <x v="159"/>
    <n v="1112"/>
    <x v="1"/>
    <n v="4345"/>
  </r>
  <r>
    <n v="161"/>
    <s v="ORD0161"/>
    <s v="INV0161"/>
    <x v="6"/>
    <x v="1"/>
    <s v="ABC Pvt Ltd"/>
    <s v="GST75929"/>
    <x v="0"/>
    <s v="65, Main Street"/>
    <s v="Delhi"/>
    <s v="Delhi"/>
    <x v="1"/>
    <x v="1"/>
    <s v="Hand Delivery"/>
    <x v="160"/>
    <n v="22137"/>
    <x v="1"/>
    <n v="1156"/>
  </r>
  <r>
    <n v="162"/>
    <s v="ORD0162"/>
    <s v="INV0162"/>
    <x v="8"/>
    <x v="2"/>
    <s v="Global Traders"/>
    <s v="GST92848"/>
    <x v="1"/>
    <s v="77, Main Street"/>
    <s v="Chennai"/>
    <s v="Tamil Nadu"/>
    <x v="0"/>
    <x v="1"/>
    <s v="Transport"/>
    <x v="161"/>
    <n v="26071"/>
    <x v="1"/>
    <n v="6682"/>
  </r>
  <r>
    <n v="163"/>
    <s v="ORD0163"/>
    <s v="INV0163"/>
    <x v="7"/>
    <x v="3"/>
    <s v="Sunrise Ltd"/>
    <s v="GST96614"/>
    <x v="4"/>
    <s v="25, Main Street"/>
    <s v="Bangalore"/>
    <s v="Karnataka"/>
    <x v="0"/>
    <x v="2"/>
    <s v="Transport"/>
    <x v="162"/>
    <n v="27966"/>
    <x v="1"/>
    <n v="687"/>
  </r>
  <r>
    <n v="164"/>
    <s v="ORD0164"/>
    <s v="INV0164"/>
    <x v="4"/>
    <x v="0"/>
    <s v="Sunrise Ltd"/>
    <s v="GST57237"/>
    <x v="0"/>
    <s v="94, Main Street"/>
    <s v="Delhi"/>
    <s v="Delhi"/>
    <x v="1"/>
    <x v="0"/>
    <s v="Courier"/>
    <x v="163"/>
    <n v="24137"/>
    <x v="1"/>
    <n v="291"/>
  </r>
  <r>
    <n v="165"/>
    <s v="ORD0165"/>
    <s v="INV0165"/>
    <x v="2"/>
    <x v="1"/>
    <s v="ABC Pvt Ltd"/>
    <s v="GST39983"/>
    <x v="0"/>
    <s v="91, Main Street"/>
    <s v="Bangalore"/>
    <s v="Karnataka"/>
    <x v="0"/>
    <x v="2"/>
    <s v="Hand Delivery"/>
    <x v="164"/>
    <n v="36200"/>
    <x v="1"/>
    <n v="2121"/>
  </r>
  <r>
    <n v="166"/>
    <s v="ORD0166"/>
    <s v="INV0166"/>
    <x v="5"/>
    <x v="1"/>
    <s v="Global Traders"/>
    <s v="GST22838"/>
    <x v="1"/>
    <s v="58, Main Street"/>
    <s v="Delhi"/>
    <s v="Delhi"/>
    <x v="1"/>
    <x v="3"/>
    <s v="Hand Delivery"/>
    <x v="165"/>
    <n v="26636"/>
    <x v="1"/>
    <n v="22459"/>
  </r>
  <r>
    <n v="167"/>
    <s v="ORD0167"/>
    <s v="INV0167"/>
    <x v="10"/>
    <x v="3"/>
    <s v="ABC Pvt Ltd"/>
    <s v="GST11482"/>
    <x v="4"/>
    <s v="48, Main Street"/>
    <s v="Delhi"/>
    <s v="Delhi"/>
    <x v="1"/>
    <x v="2"/>
    <s v="Courier"/>
    <x v="166"/>
    <n v="21248"/>
    <x v="1"/>
    <n v="15274"/>
  </r>
  <r>
    <n v="168"/>
    <s v="ORD0168"/>
    <s v="INV0168"/>
    <x v="11"/>
    <x v="2"/>
    <s v="Sunrise Ltd"/>
    <s v="GST86645"/>
    <x v="1"/>
    <s v="65, Main Street"/>
    <s v="Delhi"/>
    <s v="Delhi"/>
    <x v="1"/>
    <x v="0"/>
    <s v="Hand Delivery"/>
    <x v="167"/>
    <n v="31565"/>
    <x v="1"/>
    <n v="12743"/>
  </r>
  <r>
    <n v="169"/>
    <s v="ORD0169"/>
    <s v="INV0169"/>
    <x v="8"/>
    <x v="2"/>
    <s v="ABC Pvt Ltd"/>
    <s v="GST42093"/>
    <x v="2"/>
    <s v="2, Main Street"/>
    <s v="Delhi"/>
    <s v="Delhi"/>
    <x v="1"/>
    <x v="1"/>
    <s v="Hand Delivery"/>
    <x v="168"/>
    <n v="13146"/>
    <x v="1"/>
    <n v="537"/>
  </r>
  <r>
    <n v="170"/>
    <s v="ORD0170"/>
    <s v="INV0170"/>
    <x v="11"/>
    <x v="2"/>
    <s v="ABC Pvt Ltd"/>
    <s v="GST61853"/>
    <x v="0"/>
    <s v="1, Main Street"/>
    <s v="Mumbai"/>
    <s v="Maharashtra"/>
    <x v="2"/>
    <x v="0"/>
    <s v="Transport"/>
    <x v="169"/>
    <n v="8016"/>
    <x v="1"/>
    <n v="41109"/>
  </r>
  <r>
    <n v="171"/>
    <s v="ORD0171"/>
    <s v="INV0171"/>
    <x v="11"/>
    <x v="2"/>
    <s v="XYZ Corp"/>
    <s v="GST62852"/>
    <x v="4"/>
    <s v="44, Main Street"/>
    <s v="Pune"/>
    <s v="Maharashtra"/>
    <x v="2"/>
    <x v="3"/>
    <s v="Courier"/>
    <x v="170"/>
    <n v="13555"/>
    <x v="1"/>
    <n v="19725"/>
  </r>
  <r>
    <n v="172"/>
    <s v="ORD0172"/>
    <s v="INV0172"/>
    <x v="2"/>
    <x v="1"/>
    <s v="Sunrise Ltd"/>
    <s v="GST99963"/>
    <x v="0"/>
    <s v="22, Main Street"/>
    <s v="Mumbai"/>
    <s v="Maharashtra"/>
    <x v="2"/>
    <x v="1"/>
    <s v="Courier"/>
    <x v="171"/>
    <n v="7872"/>
    <x v="1"/>
    <n v="6735"/>
  </r>
  <r>
    <n v="173"/>
    <s v="ORD0173"/>
    <s v="INV0173"/>
    <x v="2"/>
    <x v="1"/>
    <s v="ABC Pvt Ltd"/>
    <s v="GST59395"/>
    <x v="4"/>
    <s v="86, Main Street"/>
    <s v="Chennai"/>
    <s v="Tamil Nadu"/>
    <x v="0"/>
    <x v="1"/>
    <s v="Transport"/>
    <x v="172"/>
    <n v="2163"/>
    <x v="1"/>
    <n v="5329"/>
  </r>
  <r>
    <n v="174"/>
    <s v="ORD0174"/>
    <s v="INV0174"/>
    <x v="1"/>
    <x v="0"/>
    <s v="Tech Solutions"/>
    <s v="GST16421"/>
    <x v="3"/>
    <s v="70, Main Street"/>
    <s v="Mumbai"/>
    <s v="Maharashtra"/>
    <x v="2"/>
    <x v="4"/>
    <s v="Courier"/>
    <x v="173"/>
    <n v="35896"/>
    <x v="1"/>
    <n v="10460"/>
  </r>
  <r>
    <n v="175"/>
    <s v="ORD0175"/>
    <s v="INV0175"/>
    <x v="3"/>
    <x v="2"/>
    <s v="XYZ Corp"/>
    <s v="GST54902"/>
    <x v="0"/>
    <s v="28, Main Street"/>
    <s v="Delhi"/>
    <s v="Delhi"/>
    <x v="1"/>
    <x v="2"/>
    <s v="Transport"/>
    <x v="174"/>
    <n v="23424"/>
    <x v="1"/>
    <n v="13684"/>
  </r>
  <r>
    <n v="176"/>
    <s v="ORD0176"/>
    <s v="INV0176"/>
    <x v="11"/>
    <x v="2"/>
    <s v="Global Traders"/>
    <s v="GST28757"/>
    <x v="3"/>
    <s v="18, Main Street"/>
    <s v="Delhi"/>
    <s v="Delhi"/>
    <x v="1"/>
    <x v="0"/>
    <s v="Courier"/>
    <x v="175"/>
    <n v="39674"/>
    <x v="1"/>
    <n v="2848"/>
  </r>
  <r>
    <n v="177"/>
    <s v="ORD0177"/>
    <s v="INV0177"/>
    <x v="0"/>
    <x v="0"/>
    <s v="Global Traders"/>
    <s v="GST84711"/>
    <x v="3"/>
    <s v="66, Main Street"/>
    <s v="Chennai"/>
    <s v="Tamil Nadu"/>
    <x v="0"/>
    <x v="3"/>
    <s v="Courier"/>
    <x v="176"/>
    <n v="5566"/>
    <x v="1"/>
    <n v="2807"/>
  </r>
  <r>
    <n v="178"/>
    <s v="ORD0178"/>
    <s v="INV0178"/>
    <x v="7"/>
    <x v="3"/>
    <s v="XYZ Corp"/>
    <s v="GST92021"/>
    <x v="2"/>
    <s v="81, Main Street"/>
    <s v="Mumbai"/>
    <s v="Maharashtra"/>
    <x v="2"/>
    <x v="3"/>
    <s v="Courier"/>
    <x v="177"/>
    <n v="38074"/>
    <x v="1"/>
    <n v="1880"/>
  </r>
  <r>
    <n v="179"/>
    <s v="ORD0179"/>
    <s v="INV0179"/>
    <x v="7"/>
    <x v="3"/>
    <s v="ABC Pvt Ltd"/>
    <s v="GST70570"/>
    <x v="2"/>
    <s v="81, Main Street"/>
    <s v="Mumbai"/>
    <s v="Maharashtra"/>
    <x v="2"/>
    <x v="1"/>
    <s v="Hand Delivery"/>
    <x v="178"/>
    <n v="2801"/>
    <x v="1"/>
    <n v="6010"/>
  </r>
  <r>
    <n v="180"/>
    <s v="ORD0180"/>
    <s v="INV0180"/>
    <x v="7"/>
    <x v="3"/>
    <s v="ABC Pvt Ltd"/>
    <s v="GST58060"/>
    <x v="4"/>
    <s v="3, Main Street"/>
    <s v="Delhi"/>
    <s v="Delhi"/>
    <x v="1"/>
    <x v="1"/>
    <s v="Transport"/>
    <x v="179"/>
    <n v="4612"/>
    <x v="1"/>
    <n v="7845"/>
  </r>
  <r>
    <n v="181"/>
    <s v="ORD0181"/>
    <s v="INV0181"/>
    <x v="6"/>
    <x v="1"/>
    <s v="Global Traders"/>
    <s v="GST69336"/>
    <x v="1"/>
    <s v="25, Main Street"/>
    <s v="Bangalore"/>
    <s v="Karnataka"/>
    <x v="0"/>
    <x v="3"/>
    <s v="Courier"/>
    <x v="180"/>
    <n v="16113"/>
    <x v="1"/>
    <n v="10740"/>
  </r>
  <r>
    <n v="182"/>
    <s v="ORD0182"/>
    <s v="INV0182"/>
    <x v="4"/>
    <x v="0"/>
    <s v="Sunrise Ltd"/>
    <s v="GST16759"/>
    <x v="0"/>
    <s v="70, Main Street"/>
    <s v="Pune"/>
    <s v="Maharashtra"/>
    <x v="2"/>
    <x v="1"/>
    <s v="Hand Delivery"/>
    <x v="181"/>
    <n v="4233"/>
    <x v="1"/>
    <n v="36266"/>
  </r>
  <r>
    <n v="183"/>
    <s v="ORD0183"/>
    <s v="INV0183"/>
    <x v="10"/>
    <x v="3"/>
    <s v="Sunrise Ltd"/>
    <s v="GST59247"/>
    <x v="0"/>
    <s v="78, Main Street"/>
    <s v="Mumbai"/>
    <s v="Maharashtra"/>
    <x v="2"/>
    <x v="2"/>
    <s v="Courier"/>
    <x v="182"/>
    <n v="7086"/>
    <x v="1"/>
    <n v="9137"/>
  </r>
  <r>
    <n v="184"/>
    <s v="ORD0184"/>
    <s v="INV0184"/>
    <x v="10"/>
    <x v="3"/>
    <s v="Global Traders"/>
    <s v="GST36811"/>
    <x v="2"/>
    <s v="76, Main Street"/>
    <s v="Bangalore"/>
    <s v="Karnataka"/>
    <x v="0"/>
    <x v="3"/>
    <s v="Transport"/>
    <x v="183"/>
    <n v="3910"/>
    <x v="1"/>
    <n v="20003"/>
  </r>
  <r>
    <n v="185"/>
    <s v="ORD0185"/>
    <s v="INV0185"/>
    <x v="11"/>
    <x v="2"/>
    <s v="ABC Pvt Ltd"/>
    <s v="GST92165"/>
    <x v="1"/>
    <s v="5, Main Street"/>
    <s v="Bangalore"/>
    <s v="Karnataka"/>
    <x v="0"/>
    <x v="0"/>
    <s v="Hand Delivery"/>
    <x v="184"/>
    <n v="24414"/>
    <x v="1"/>
    <n v="19699"/>
  </r>
  <r>
    <n v="186"/>
    <s v="ORD0186"/>
    <s v="INV0186"/>
    <x v="5"/>
    <x v="1"/>
    <s v="Tech Solutions"/>
    <s v="GST95460"/>
    <x v="4"/>
    <s v="91, Main Street"/>
    <s v="Delhi"/>
    <s v="Delhi"/>
    <x v="1"/>
    <x v="1"/>
    <s v="Courier"/>
    <x v="185"/>
    <n v="8969"/>
    <x v="1"/>
    <n v="30173"/>
  </r>
  <r>
    <n v="187"/>
    <s v="ORD0187"/>
    <s v="INV0187"/>
    <x v="6"/>
    <x v="1"/>
    <s v="ABC Pvt Ltd"/>
    <s v="GST96973"/>
    <x v="1"/>
    <s v="17, Main Street"/>
    <s v="Delhi"/>
    <s v="Delhi"/>
    <x v="1"/>
    <x v="1"/>
    <s v="Courier"/>
    <x v="186"/>
    <n v="32223"/>
    <x v="1"/>
    <n v="975"/>
  </r>
  <r>
    <n v="188"/>
    <s v="ORD0188"/>
    <s v="INV0188"/>
    <x v="6"/>
    <x v="1"/>
    <s v="XYZ Corp"/>
    <s v="GST86190"/>
    <x v="2"/>
    <s v="64, Main Street"/>
    <s v="Pune"/>
    <s v="Maharashtra"/>
    <x v="2"/>
    <x v="1"/>
    <s v="Courier"/>
    <x v="187"/>
    <n v="19818"/>
    <x v="1"/>
    <n v="23481"/>
  </r>
  <r>
    <n v="189"/>
    <s v="ORD0189"/>
    <s v="INV0189"/>
    <x v="9"/>
    <x v="3"/>
    <s v="Sunrise Ltd"/>
    <s v="GST84229"/>
    <x v="0"/>
    <s v="92, Main Street"/>
    <s v="Delhi"/>
    <s v="Delhi"/>
    <x v="1"/>
    <x v="4"/>
    <s v="Courier"/>
    <x v="188"/>
    <n v="17246"/>
    <x v="1"/>
    <n v="24188"/>
  </r>
  <r>
    <n v="190"/>
    <s v="ORD0190"/>
    <s v="INV0190"/>
    <x v="11"/>
    <x v="2"/>
    <s v="Sunrise Ltd"/>
    <s v="GST59118"/>
    <x v="4"/>
    <s v="73, Main Street"/>
    <s v="Bangalore"/>
    <s v="Karnataka"/>
    <x v="0"/>
    <x v="1"/>
    <s v="Courier"/>
    <x v="189"/>
    <n v="27256"/>
    <x v="1"/>
    <n v="17351"/>
  </r>
  <r>
    <n v="191"/>
    <s v="ORD0191"/>
    <s v="INV0191"/>
    <x v="11"/>
    <x v="2"/>
    <s v="XYZ Corp"/>
    <s v="GST30496"/>
    <x v="2"/>
    <s v="100, Main Street"/>
    <s v="Bangalore"/>
    <s v="Karnataka"/>
    <x v="0"/>
    <x v="2"/>
    <s v="Hand Delivery"/>
    <x v="190"/>
    <n v="1867"/>
    <x v="1"/>
    <n v="5686"/>
  </r>
  <r>
    <n v="192"/>
    <s v="ORD0192"/>
    <s v="INV0192"/>
    <x v="10"/>
    <x v="3"/>
    <s v="Sunrise Ltd"/>
    <s v="GST21658"/>
    <x v="1"/>
    <s v="69, Main Street"/>
    <s v="Bangalore"/>
    <s v="Karnataka"/>
    <x v="0"/>
    <x v="4"/>
    <s v="Hand Delivery"/>
    <x v="191"/>
    <n v="19096"/>
    <x v="1"/>
    <n v="27521"/>
  </r>
  <r>
    <n v="193"/>
    <s v="ORD0193"/>
    <s v="INV0193"/>
    <x v="0"/>
    <x v="0"/>
    <s v="ABC Pvt Ltd"/>
    <s v="GST39685"/>
    <x v="4"/>
    <s v="40, Main Street"/>
    <s v="Delhi"/>
    <s v="Delhi"/>
    <x v="1"/>
    <x v="2"/>
    <s v="Transport"/>
    <x v="192"/>
    <n v="9916"/>
    <x v="1"/>
    <n v="26672"/>
  </r>
  <r>
    <n v="194"/>
    <s v="ORD0194"/>
    <s v="INV0194"/>
    <x v="8"/>
    <x v="2"/>
    <s v="Tech Solutions"/>
    <s v="GST38099"/>
    <x v="3"/>
    <s v="86, Main Street"/>
    <s v="Mumbai"/>
    <s v="Maharashtra"/>
    <x v="2"/>
    <x v="4"/>
    <s v="Hand Delivery"/>
    <x v="193"/>
    <n v="2059"/>
    <x v="1"/>
    <n v="10103"/>
  </r>
  <r>
    <n v="195"/>
    <s v="ORD0195"/>
    <s v="INV0195"/>
    <x v="2"/>
    <x v="1"/>
    <s v="ABC Pvt Ltd"/>
    <s v="GST26879"/>
    <x v="3"/>
    <s v="2, Main Street"/>
    <s v="Chennai"/>
    <s v="Tamil Nadu"/>
    <x v="0"/>
    <x v="0"/>
    <s v="Hand Delivery"/>
    <x v="194"/>
    <n v="4593"/>
    <x v="1"/>
    <n v="18663"/>
  </r>
  <r>
    <n v="196"/>
    <s v="ORD0196"/>
    <s v="INV0196"/>
    <x v="11"/>
    <x v="2"/>
    <s v="ABC Pvt Ltd"/>
    <s v="GST52926"/>
    <x v="1"/>
    <s v="41, Main Street"/>
    <s v="Pune"/>
    <s v="Maharashtra"/>
    <x v="2"/>
    <x v="2"/>
    <s v="Transport"/>
    <x v="195"/>
    <n v="27431"/>
    <x v="1"/>
    <n v="11416"/>
  </r>
  <r>
    <n v="197"/>
    <s v="ORD0197"/>
    <s v="INV0197"/>
    <x v="9"/>
    <x v="3"/>
    <s v="Tech Solutions"/>
    <s v="GST66579"/>
    <x v="2"/>
    <s v="15, Main Street"/>
    <s v="Delhi"/>
    <s v="Delhi"/>
    <x v="1"/>
    <x v="3"/>
    <s v="Transport"/>
    <x v="196"/>
    <n v="1706"/>
    <x v="1"/>
    <n v="14271"/>
  </r>
  <r>
    <n v="198"/>
    <s v="ORD0198"/>
    <s v="INV0198"/>
    <x v="2"/>
    <x v="1"/>
    <s v="ABC Pvt Ltd"/>
    <s v="GST94536"/>
    <x v="1"/>
    <s v="3, Main Street"/>
    <s v="Mumbai"/>
    <s v="Maharashtra"/>
    <x v="2"/>
    <x v="3"/>
    <s v="Hand Delivery"/>
    <x v="197"/>
    <n v="8549"/>
    <x v="1"/>
    <n v="30389"/>
  </r>
  <r>
    <n v="199"/>
    <s v="ORD0199"/>
    <s v="INV0199"/>
    <x v="2"/>
    <x v="1"/>
    <s v="XYZ Corp"/>
    <s v="GST29417"/>
    <x v="1"/>
    <s v="83, Main Street"/>
    <s v="Delhi"/>
    <s v="Delhi"/>
    <x v="1"/>
    <x v="1"/>
    <s v="Courier"/>
    <x v="198"/>
    <n v="9150"/>
    <x v="1"/>
    <n v="8093"/>
  </r>
  <r>
    <n v="200"/>
    <s v="ORD0200"/>
    <s v="INV0200"/>
    <x v="10"/>
    <x v="3"/>
    <s v="ABC Pvt Ltd"/>
    <s v="GST64998"/>
    <x v="3"/>
    <s v="75, Main Street"/>
    <s v="Chennai"/>
    <s v="Tamil Nadu"/>
    <x v="0"/>
    <x v="2"/>
    <s v="Transport"/>
    <x v="199"/>
    <n v="700"/>
    <x v="1"/>
    <n v="7991"/>
  </r>
  <r>
    <n v="201"/>
    <s v="ORD0201"/>
    <s v="INV0201"/>
    <x v="6"/>
    <x v="1"/>
    <s v="ABC Pvt Ltd"/>
    <s v="GST47755"/>
    <x v="3"/>
    <s v="50, Main Street"/>
    <s v="Pune"/>
    <s v="Maharashtra"/>
    <x v="2"/>
    <x v="0"/>
    <s v="Transport"/>
    <x v="200"/>
    <n v="23303"/>
    <x v="1"/>
    <n v="1110"/>
  </r>
  <r>
    <n v="202"/>
    <s v="ORD0202"/>
    <s v="INV0202"/>
    <x v="10"/>
    <x v="3"/>
    <s v="Sunrise Ltd"/>
    <s v="GST47332"/>
    <x v="4"/>
    <s v="70, Main Street"/>
    <s v="Delhi"/>
    <s v="Delhi"/>
    <x v="1"/>
    <x v="3"/>
    <s v="Hand Delivery"/>
    <x v="201"/>
    <n v="39637"/>
    <x v="1"/>
    <n v="6079"/>
  </r>
  <r>
    <n v="203"/>
    <s v="ORD0203"/>
    <s v="INV0203"/>
    <x v="10"/>
    <x v="3"/>
    <s v="XYZ Corp"/>
    <s v="GST12994"/>
    <x v="4"/>
    <s v="19, Main Street"/>
    <s v="Delhi"/>
    <s v="Delhi"/>
    <x v="1"/>
    <x v="4"/>
    <s v="Transport"/>
    <x v="202"/>
    <n v="11023"/>
    <x v="1"/>
    <n v="2085"/>
  </r>
  <r>
    <n v="204"/>
    <s v="ORD0204"/>
    <s v="INV0204"/>
    <x v="10"/>
    <x v="3"/>
    <s v="Sunrise Ltd"/>
    <s v="GST86946"/>
    <x v="1"/>
    <s v="4, Main Street"/>
    <s v="Chennai"/>
    <s v="Tamil Nadu"/>
    <x v="0"/>
    <x v="1"/>
    <s v="Courier"/>
    <x v="203"/>
    <n v="6231"/>
    <x v="1"/>
    <n v="33354"/>
  </r>
  <r>
    <n v="205"/>
    <s v="ORD0205"/>
    <s v="INV0205"/>
    <x v="0"/>
    <x v="0"/>
    <s v="Sunrise Ltd"/>
    <s v="GST41463"/>
    <x v="2"/>
    <s v="88, Main Street"/>
    <s v="Pune"/>
    <s v="Maharashtra"/>
    <x v="2"/>
    <x v="4"/>
    <s v="Transport"/>
    <x v="204"/>
    <n v="12246"/>
    <x v="1"/>
    <n v="14177"/>
  </r>
  <r>
    <n v="206"/>
    <s v="ORD0206"/>
    <s v="INV0206"/>
    <x v="4"/>
    <x v="0"/>
    <s v="Sunrise Ltd"/>
    <s v="GST99125"/>
    <x v="1"/>
    <s v="35, Main Street"/>
    <s v="Chennai"/>
    <s v="Tamil Nadu"/>
    <x v="0"/>
    <x v="1"/>
    <s v="Hand Delivery"/>
    <x v="205"/>
    <n v="8688"/>
    <x v="1"/>
    <n v="31876"/>
  </r>
  <r>
    <n v="207"/>
    <s v="ORD0207"/>
    <s v="INV0207"/>
    <x v="7"/>
    <x v="3"/>
    <s v="Sunrise Ltd"/>
    <s v="GST18378"/>
    <x v="4"/>
    <s v="13, Main Street"/>
    <s v="Delhi"/>
    <s v="Delhi"/>
    <x v="1"/>
    <x v="3"/>
    <s v="Transport"/>
    <x v="206"/>
    <n v="1127"/>
    <x v="1"/>
    <n v="6193"/>
  </r>
  <r>
    <n v="208"/>
    <s v="ORD0208"/>
    <s v="INV0208"/>
    <x v="5"/>
    <x v="1"/>
    <s v="Sunrise Ltd"/>
    <s v="GST37839"/>
    <x v="4"/>
    <s v="36, Main Street"/>
    <s v="Mumbai"/>
    <s v="Maharashtra"/>
    <x v="2"/>
    <x v="4"/>
    <s v="Hand Delivery"/>
    <x v="207"/>
    <n v="16481"/>
    <x v="1"/>
    <n v="15454"/>
  </r>
  <r>
    <n v="209"/>
    <s v="ORD0209"/>
    <s v="INV0209"/>
    <x v="11"/>
    <x v="2"/>
    <s v="XYZ Corp"/>
    <s v="GST44201"/>
    <x v="0"/>
    <s v="98, Main Street"/>
    <s v="Mumbai"/>
    <s v="Maharashtra"/>
    <x v="2"/>
    <x v="2"/>
    <s v="Transport"/>
    <x v="208"/>
    <n v="19140"/>
    <x v="1"/>
    <n v="24574"/>
  </r>
  <r>
    <n v="210"/>
    <s v="ORD0210"/>
    <s v="INV0210"/>
    <x v="0"/>
    <x v="0"/>
    <s v="Tech Solutions"/>
    <s v="GST22109"/>
    <x v="0"/>
    <s v="8, Main Street"/>
    <s v="Pune"/>
    <s v="Maharashtra"/>
    <x v="2"/>
    <x v="2"/>
    <s v="Hand Delivery"/>
    <x v="209"/>
    <n v="40763"/>
    <x v="1"/>
    <n v="1701"/>
  </r>
  <r>
    <n v="211"/>
    <s v="ORD0211"/>
    <s v="INV0211"/>
    <x v="1"/>
    <x v="0"/>
    <s v="Tech Solutions"/>
    <s v="GST59152"/>
    <x v="3"/>
    <s v="37, Main Street"/>
    <s v="Pune"/>
    <s v="Maharashtra"/>
    <x v="2"/>
    <x v="2"/>
    <s v="Transport"/>
    <x v="210"/>
    <n v="23249"/>
    <x v="1"/>
    <n v="15431"/>
  </r>
  <r>
    <n v="212"/>
    <s v="ORD0212"/>
    <s v="INV0212"/>
    <x v="10"/>
    <x v="3"/>
    <s v="ABC Pvt Ltd"/>
    <s v="GST60374"/>
    <x v="4"/>
    <s v="54, Main Street"/>
    <s v="Mumbai"/>
    <s v="Maharashtra"/>
    <x v="2"/>
    <x v="1"/>
    <s v="Courier"/>
    <x v="211"/>
    <n v="10769"/>
    <x v="1"/>
    <n v="35671"/>
  </r>
  <r>
    <n v="213"/>
    <s v="ORD0213"/>
    <s v="INV0213"/>
    <x v="0"/>
    <x v="0"/>
    <s v="Global Traders"/>
    <s v="GST79279"/>
    <x v="0"/>
    <s v="96, Main Street"/>
    <s v="Mumbai"/>
    <s v="Maharashtra"/>
    <x v="2"/>
    <x v="1"/>
    <s v="Courier"/>
    <x v="212"/>
    <n v="23613"/>
    <x v="1"/>
    <n v="10670"/>
  </r>
  <r>
    <n v="214"/>
    <s v="ORD0214"/>
    <s v="INV0214"/>
    <x v="9"/>
    <x v="3"/>
    <s v="XYZ Corp"/>
    <s v="GST70628"/>
    <x v="3"/>
    <s v="74, Main Street"/>
    <s v="Chennai"/>
    <s v="Tamil Nadu"/>
    <x v="0"/>
    <x v="2"/>
    <s v="Transport"/>
    <x v="213"/>
    <n v="27931"/>
    <x v="1"/>
    <n v="6769"/>
  </r>
  <r>
    <n v="215"/>
    <s v="ORD0215"/>
    <s v="INV0215"/>
    <x v="5"/>
    <x v="1"/>
    <s v="ABC Pvt Ltd"/>
    <s v="GST48796"/>
    <x v="1"/>
    <s v="94, Main Street"/>
    <s v="Mumbai"/>
    <s v="Maharashtra"/>
    <x v="2"/>
    <x v="4"/>
    <s v="Transport"/>
    <x v="214"/>
    <n v="10227"/>
    <x v="1"/>
    <n v="452"/>
  </r>
  <r>
    <n v="216"/>
    <s v="ORD0216"/>
    <s v="INV0216"/>
    <x v="10"/>
    <x v="3"/>
    <s v="Sunrise Ltd"/>
    <s v="GST34026"/>
    <x v="3"/>
    <s v="82, Main Street"/>
    <s v="Chennai"/>
    <s v="Tamil Nadu"/>
    <x v="0"/>
    <x v="3"/>
    <s v="Courier"/>
    <x v="215"/>
    <n v="3850"/>
    <x v="1"/>
    <n v="7170"/>
  </r>
  <r>
    <n v="217"/>
    <s v="ORD0217"/>
    <s v="INV0217"/>
    <x v="10"/>
    <x v="3"/>
    <s v="XYZ Corp"/>
    <s v="GST41357"/>
    <x v="2"/>
    <s v="60, Main Street"/>
    <s v="Delhi"/>
    <s v="Delhi"/>
    <x v="1"/>
    <x v="1"/>
    <s v="Hand Delivery"/>
    <x v="216"/>
    <n v="4611"/>
    <x v="1"/>
    <n v="15754"/>
  </r>
  <r>
    <n v="218"/>
    <s v="ORD0218"/>
    <s v="INV0218"/>
    <x v="11"/>
    <x v="2"/>
    <s v="Sunrise Ltd"/>
    <s v="GST83344"/>
    <x v="3"/>
    <s v="5, Main Street"/>
    <s v="Delhi"/>
    <s v="Delhi"/>
    <x v="1"/>
    <x v="2"/>
    <s v="Courier"/>
    <x v="217"/>
    <n v="6824"/>
    <x v="1"/>
    <n v="24157"/>
  </r>
  <r>
    <n v="219"/>
    <s v="ORD0219"/>
    <s v="INV0219"/>
    <x v="10"/>
    <x v="3"/>
    <s v="Tech Solutions"/>
    <s v="GST24712"/>
    <x v="4"/>
    <s v="73, Main Street"/>
    <s v="Pune"/>
    <s v="Maharashtra"/>
    <x v="2"/>
    <x v="0"/>
    <s v="Hand Delivery"/>
    <x v="218"/>
    <n v="7663"/>
    <x v="1"/>
    <n v="32928"/>
  </r>
  <r>
    <n v="220"/>
    <s v="ORD0220"/>
    <s v="INV0220"/>
    <x v="9"/>
    <x v="3"/>
    <s v="ABC Pvt Ltd"/>
    <s v="GST91529"/>
    <x v="0"/>
    <s v="30, Main Street"/>
    <s v="Mumbai"/>
    <s v="Maharashtra"/>
    <x v="2"/>
    <x v="3"/>
    <s v="Courier"/>
    <x v="77"/>
    <n v="11576"/>
    <x v="1"/>
    <n v="10556"/>
  </r>
  <r>
    <n v="221"/>
    <s v="ORD0221"/>
    <s v="INV0221"/>
    <x v="1"/>
    <x v="0"/>
    <s v="XYZ Corp"/>
    <s v="GST13942"/>
    <x v="3"/>
    <s v="78, Main Street"/>
    <s v="Chennai"/>
    <s v="Tamil Nadu"/>
    <x v="0"/>
    <x v="3"/>
    <s v="Transport"/>
    <x v="219"/>
    <n v="8254"/>
    <x v="1"/>
    <n v="40577"/>
  </r>
  <r>
    <n v="222"/>
    <s v="ORD0222"/>
    <s v="INV0222"/>
    <x v="4"/>
    <x v="0"/>
    <s v="Sunrise Ltd"/>
    <s v="GST98987"/>
    <x v="2"/>
    <s v="59, Main Street"/>
    <s v="Mumbai"/>
    <s v="Maharashtra"/>
    <x v="2"/>
    <x v="1"/>
    <s v="Courier"/>
    <x v="220"/>
    <n v="7124"/>
    <x v="1"/>
    <n v="18549"/>
  </r>
  <r>
    <n v="223"/>
    <s v="ORD0223"/>
    <s v="INV0223"/>
    <x v="3"/>
    <x v="2"/>
    <s v="XYZ Corp"/>
    <s v="GST34913"/>
    <x v="3"/>
    <s v="18, Main Street"/>
    <s v="Bangalore"/>
    <s v="Karnataka"/>
    <x v="0"/>
    <x v="2"/>
    <s v="Transport"/>
    <x v="221"/>
    <n v="37697"/>
    <x v="1"/>
    <n v="7532"/>
  </r>
  <r>
    <n v="224"/>
    <s v="ORD0224"/>
    <s v="INV0224"/>
    <x v="5"/>
    <x v="1"/>
    <s v="Tech Solutions"/>
    <s v="GST72095"/>
    <x v="1"/>
    <s v="47, Main Street"/>
    <s v="Pune"/>
    <s v="Maharashtra"/>
    <x v="2"/>
    <x v="2"/>
    <s v="Courier"/>
    <x v="222"/>
    <n v="28081"/>
    <x v="1"/>
    <n v="19612"/>
  </r>
  <r>
    <n v="225"/>
    <s v="ORD0225"/>
    <s v="INV0225"/>
    <x v="10"/>
    <x v="3"/>
    <s v="ABC Pvt Ltd"/>
    <s v="GST67773"/>
    <x v="3"/>
    <s v="63, Main Street"/>
    <s v="Chennai"/>
    <s v="Tamil Nadu"/>
    <x v="0"/>
    <x v="1"/>
    <s v="Hand Delivery"/>
    <x v="223"/>
    <n v="428"/>
    <x v="1"/>
    <n v="10584"/>
  </r>
  <r>
    <n v="226"/>
    <s v="ORD0226"/>
    <s v="INV0226"/>
    <x v="1"/>
    <x v="0"/>
    <s v="Tech Solutions"/>
    <s v="GST46233"/>
    <x v="3"/>
    <s v="77, Main Street"/>
    <s v="Mumbai"/>
    <s v="Maharashtra"/>
    <x v="2"/>
    <x v="3"/>
    <s v="Courier"/>
    <x v="224"/>
    <n v="10970"/>
    <x v="1"/>
    <n v="1559"/>
  </r>
  <r>
    <n v="227"/>
    <s v="ORD0227"/>
    <s v="INV0227"/>
    <x v="11"/>
    <x v="2"/>
    <s v="Sunrise Ltd"/>
    <s v="GST49243"/>
    <x v="0"/>
    <s v="42, Main Street"/>
    <s v="Chennai"/>
    <s v="Tamil Nadu"/>
    <x v="0"/>
    <x v="2"/>
    <s v="Transport"/>
    <x v="225"/>
    <n v="31957"/>
    <x v="1"/>
    <n v="13188"/>
  </r>
  <r>
    <n v="228"/>
    <s v="ORD0228"/>
    <s v="INV0228"/>
    <x v="2"/>
    <x v="1"/>
    <s v="Global Traders"/>
    <s v="GST40992"/>
    <x v="2"/>
    <s v="23, Main Street"/>
    <s v="Bangalore"/>
    <s v="Karnataka"/>
    <x v="0"/>
    <x v="1"/>
    <s v="Transport"/>
    <x v="226"/>
    <n v="38754"/>
    <x v="1"/>
    <n v="10318"/>
  </r>
  <r>
    <n v="229"/>
    <s v="ORD0229"/>
    <s v="INV0229"/>
    <x v="9"/>
    <x v="3"/>
    <s v="ABC Pvt Ltd"/>
    <s v="GST26039"/>
    <x v="2"/>
    <s v="7, Main Street"/>
    <s v="Delhi"/>
    <s v="Delhi"/>
    <x v="1"/>
    <x v="0"/>
    <s v="Hand Delivery"/>
    <x v="227"/>
    <n v="3452"/>
    <x v="1"/>
    <n v="25026"/>
  </r>
  <r>
    <n v="230"/>
    <s v="ORD0230"/>
    <s v="INV0230"/>
    <x v="8"/>
    <x v="2"/>
    <s v="Tech Solutions"/>
    <s v="GST46132"/>
    <x v="4"/>
    <s v="72, Main Street"/>
    <s v="Chennai"/>
    <s v="Tamil Nadu"/>
    <x v="0"/>
    <x v="2"/>
    <s v="Hand Delivery"/>
    <x v="228"/>
    <n v="12394"/>
    <x v="1"/>
    <n v="27326"/>
  </r>
  <r>
    <n v="231"/>
    <s v="ORD0231"/>
    <s v="INV0231"/>
    <x v="4"/>
    <x v="0"/>
    <s v="XYZ Corp"/>
    <s v="GST27689"/>
    <x v="1"/>
    <s v="77, Main Street"/>
    <s v="Bangalore"/>
    <s v="Karnataka"/>
    <x v="0"/>
    <x v="4"/>
    <s v="Transport"/>
    <x v="229"/>
    <n v="3706"/>
    <x v="1"/>
    <n v="11500"/>
  </r>
  <r>
    <n v="232"/>
    <s v="ORD0232"/>
    <s v="INV0232"/>
    <x v="2"/>
    <x v="1"/>
    <s v="Sunrise Ltd"/>
    <s v="GST18614"/>
    <x v="4"/>
    <s v="2, Main Street"/>
    <s v="Pune"/>
    <s v="Maharashtra"/>
    <x v="2"/>
    <x v="0"/>
    <s v="Hand Delivery"/>
    <x v="230"/>
    <n v="10309"/>
    <x v="1"/>
    <n v="15354"/>
  </r>
  <r>
    <n v="233"/>
    <s v="ORD0233"/>
    <s v="INV0233"/>
    <x v="1"/>
    <x v="0"/>
    <s v="Sunrise Ltd"/>
    <s v="GST26737"/>
    <x v="3"/>
    <s v="37, Main Street"/>
    <s v="Delhi"/>
    <s v="Delhi"/>
    <x v="1"/>
    <x v="3"/>
    <s v="Hand Delivery"/>
    <x v="231"/>
    <n v="19776"/>
    <x v="1"/>
    <n v="3651"/>
  </r>
  <r>
    <n v="234"/>
    <s v="ORD0234"/>
    <s v="INV0234"/>
    <x v="7"/>
    <x v="3"/>
    <s v="XYZ Corp"/>
    <s v="GST19871"/>
    <x v="2"/>
    <s v="68, Main Street"/>
    <s v="Pune"/>
    <s v="Maharashtra"/>
    <x v="2"/>
    <x v="3"/>
    <s v="Courier"/>
    <x v="232"/>
    <n v="16149"/>
    <x v="1"/>
    <n v="11642"/>
  </r>
  <r>
    <n v="235"/>
    <s v="ORD0235"/>
    <s v="INV0235"/>
    <x v="4"/>
    <x v="0"/>
    <s v="XYZ Corp"/>
    <s v="GST59168"/>
    <x v="0"/>
    <s v="84, Main Street"/>
    <s v="Bangalore"/>
    <s v="Karnataka"/>
    <x v="0"/>
    <x v="3"/>
    <s v="Courier"/>
    <x v="233"/>
    <n v="1911"/>
    <x v="1"/>
    <n v="36920"/>
  </r>
  <r>
    <n v="236"/>
    <s v="ORD0236"/>
    <s v="INV0236"/>
    <x v="9"/>
    <x v="3"/>
    <s v="Tech Solutions"/>
    <s v="GST76759"/>
    <x v="3"/>
    <s v="72, Main Street"/>
    <s v="Bangalore"/>
    <s v="Karnataka"/>
    <x v="0"/>
    <x v="4"/>
    <s v="Courier"/>
    <x v="234"/>
    <n v="8607"/>
    <x v="1"/>
    <n v="40169"/>
  </r>
  <r>
    <n v="237"/>
    <s v="ORD0237"/>
    <s v="INV0237"/>
    <x v="6"/>
    <x v="1"/>
    <s v="ABC Pvt Ltd"/>
    <s v="GST98848"/>
    <x v="4"/>
    <s v="3, Main Street"/>
    <s v="Mumbai"/>
    <s v="Maharashtra"/>
    <x v="2"/>
    <x v="2"/>
    <s v="Courier"/>
    <x v="235"/>
    <n v="17315"/>
    <x v="1"/>
    <n v="5924"/>
  </r>
  <r>
    <n v="238"/>
    <s v="ORD0238"/>
    <s v="INV0238"/>
    <x v="7"/>
    <x v="3"/>
    <s v="Sunrise Ltd"/>
    <s v="GST85183"/>
    <x v="4"/>
    <s v="52, Main Street"/>
    <s v="Bangalore"/>
    <s v="Karnataka"/>
    <x v="0"/>
    <x v="1"/>
    <s v="Transport"/>
    <x v="236"/>
    <n v="21375"/>
    <x v="1"/>
    <n v="5144"/>
  </r>
  <r>
    <n v="239"/>
    <s v="ORD0239"/>
    <s v="INV0239"/>
    <x v="5"/>
    <x v="1"/>
    <s v="Tech Solutions"/>
    <s v="GST73944"/>
    <x v="0"/>
    <s v="14, Main Street"/>
    <s v="Chennai"/>
    <s v="Tamil Nadu"/>
    <x v="0"/>
    <x v="3"/>
    <s v="Hand Delivery"/>
    <x v="237"/>
    <n v="11931"/>
    <x v="1"/>
    <n v="10779"/>
  </r>
  <r>
    <n v="240"/>
    <s v="ORD0240"/>
    <s v="INV0240"/>
    <x v="3"/>
    <x v="2"/>
    <s v="Tech Solutions"/>
    <s v="GST84483"/>
    <x v="4"/>
    <s v="28, Main Street"/>
    <s v="Chennai"/>
    <s v="Tamil Nadu"/>
    <x v="0"/>
    <x v="2"/>
    <s v="Transport"/>
    <x v="238"/>
    <n v="10385"/>
    <x v="1"/>
    <n v="4162"/>
  </r>
  <r>
    <n v="241"/>
    <s v="ORD0241"/>
    <s v="INV0241"/>
    <x v="3"/>
    <x v="2"/>
    <s v="XYZ Corp"/>
    <s v="GST77905"/>
    <x v="0"/>
    <s v="81, Main Street"/>
    <s v="Mumbai"/>
    <s v="Maharashtra"/>
    <x v="2"/>
    <x v="0"/>
    <s v="Courier"/>
    <x v="239"/>
    <n v="26265"/>
    <x v="1"/>
    <n v="19875"/>
  </r>
  <r>
    <n v="242"/>
    <s v="ORD0242"/>
    <s v="INV0242"/>
    <x v="5"/>
    <x v="1"/>
    <s v="ABC Pvt Ltd"/>
    <s v="GST73398"/>
    <x v="1"/>
    <s v="41, Main Street"/>
    <s v="Delhi"/>
    <s v="Delhi"/>
    <x v="1"/>
    <x v="2"/>
    <s v="Courier"/>
    <x v="240"/>
    <n v="40053"/>
    <x v="1"/>
    <n v="3838"/>
  </r>
  <r>
    <n v="243"/>
    <s v="ORD0243"/>
    <s v="INV0243"/>
    <x v="7"/>
    <x v="3"/>
    <s v="XYZ Corp"/>
    <s v="GST38240"/>
    <x v="2"/>
    <s v="65, Main Street"/>
    <s v="Bangalore"/>
    <s v="Karnataka"/>
    <x v="0"/>
    <x v="0"/>
    <s v="Courier"/>
    <x v="241"/>
    <n v="2237"/>
    <x v="1"/>
    <n v="28076"/>
  </r>
  <r>
    <n v="244"/>
    <s v="ORD0244"/>
    <s v="INV0244"/>
    <x v="11"/>
    <x v="2"/>
    <s v="ABC Pvt Ltd"/>
    <s v="GST30482"/>
    <x v="4"/>
    <s v="78, Main Street"/>
    <s v="Delhi"/>
    <s v="Delhi"/>
    <x v="1"/>
    <x v="0"/>
    <s v="Hand Delivery"/>
    <x v="242"/>
    <n v="4919"/>
    <x v="1"/>
    <n v="39175"/>
  </r>
  <r>
    <n v="245"/>
    <s v="ORD0245"/>
    <s v="INV0245"/>
    <x v="6"/>
    <x v="1"/>
    <s v="XYZ Corp"/>
    <s v="GST19615"/>
    <x v="4"/>
    <s v="58, Main Street"/>
    <s v="Mumbai"/>
    <s v="Maharashtra"/>
    <x v="2"/>
    <x v="3"/>
    <s v="Transport"/>
    <x v="243"/>
    <n v="4268"/>
    <x v="1"/>
    <n v="44805"/>
  </r>
  <r>
    <n v="246"/>
    <s v="ORD0246"/>
    <s v="INV0246"/>
    <x v="4"/>
    <x v="0"/>
    <s v="Sunrise Ltd"/>
    <s v="GST71472"/>
    <x v="0"/>
    <s v="6, Main Street"/>
    <s v="Pune"/>
    <s v="Maharashtra"/>
    <x v="2"/>
    <x v="1"/>
    <s v="Hand Delivery"/>
    <x v="244"/>
    <n v="9692"/>
    <x v="1"/>
    <n v="8126"/>
  </r>
  <r>
    <n v="247"/>
    <s v="ORD0247"/>
    <s v="INV0247"/>
    <x v="1"/>
    <x v="0"/>
    <s v="XYZ Corp"/>
    <s v="GST84892"/>
    <x v="1"/>
    <s v="20, Main Street"/>
    <s v="Delhi"/>
    <s v="Delhi"/>
    <x v="1"/>
    <x v="4"/>
    <s v="Hand Delivery"/>
    <x v="245"/>
    <n v="10039"/>
    <x v="1"/>
    <n v="21087"/>
  </r>
  <r>
    <n v="248"/>
    <s v="ORD0248"/>
    <s v="INV0248"/>
    <x v="9"/>
    <x v="3"/>
    <s v="Tech Solutions"/>
    <s v="GST57095"/>
    <x v="3"/>
    <s v="12, Main Street"/>
    <s v="Mumbai"/>
    <s v="Maharashtra"/>
    <x v="2"/>
    <x v="1"/>
    <s v="Hand Delivery"/>
    <x v="246"/>
    <n v="2877"/>
    <x v="1"/>
    <n v="7660"/>
  </r>
  <r>
    <n v="249"/>
    <s v="ORD0249"/>
    <s v="INV0249"/>
    <x v="8"/>
    <x v="2"/>
    <s v="Tech Solutions"/>
    <s v="GST89053"/>
    <x v="3"/>
    <s v="21, Main Street"/>
    <s v="Chennai"/>
    <s v="Tamil Nadu"/>
    <x v="0"/>
    <x v="3"/>
    <s v="Courier"/>
    <x v="247"/>
    <n v="19305"/>
    <x v="1"/>
    <n v="22959"/>
  </r>
  <r>
    <n v="250"/>
    <s v="ORD0250"/>
    <s v="INV0250"/>
    <x v="1"/>
    <x v="0"/>
    <s v="XYZ Corp"/>
    <s v="GST85790"/>
    <x v="3"/>
    <s v="97, Main Street"/>
    <s v="Delhi"/>
    <s v="Delhi"/>
    <x v="1"/>
    <x v="3"/>
    <s v="Hand Delivery"/>
    <x v="248"/>
    <n v="39784"/>
    <x v="1"/>
    <n v="2406"/>
  </r>
  <r>
    <n v="251"/>
    <s v="ORD0251"/>
    <s v="INV0251"/>
    <x v="10"/>
    <x v="3"/>
    <s v="Global Traders"/>
    <s v="GST66250"/>
    <x v="2"/>
    <s v="21, Main Street"/>
    <s v="Pune"/>
    <s v="Maharashtra"/>
    <x v="2"/>
    <x v="4"/>
    <s v="Courier"/>
    <x v="249"/>
    <n v="2429"/>
    <x v="1"/>
    <n v="11386"/>
  </r>
  <r>
    <n v="252"/>
    <s v="ORD0252"/>
    <s v="INV0252"/>
    <x v="1"/>
    <x v="0"/>
    <s v="XYZ Corp"/>
    <s v="GST75172"/>
    <x v="4"/>
    <s v="26, Main Street"/>
    <s v="Chennai"/>
    <s v="Tamil Nadu"/>
    <x v="0"/>
    <x v="2"/>
    <s v="Courier"/>
    <x v="250"/>
    <n v="16833"/>
    <x v="1"/>
    <n v="31070"/>
  </r>
  <r>
    <n v="253"/>
    <s v="ORD0253"/>
    <s v="INV0253"/>
    <x v="7"/>
    <x v="3"/>
    <s v="ABC Pvt Ltd"/>
    <s v="GST74367"/>
    <x v="2"/>
    <s v="61, Main Street"/>
    <s v="Pune"/>
    <s v="Maharashtra"/>
    <x v="2"/>
    <x v="4"/>
    <s v="Transport"/>
    <x v="251"/>
    <n v="1644"/>
    <x v="1"/>
    <n v="35243"/>
  </r>
  <r>
    <n v="254"/>
    <s v="ORD0254"/>
    <s v="INV0254"/>
    <x v="9"/>
    <x v="3"/>
    <s v="ABC Pvt Ltd"/>
    <s v="GST57915"/>
    <x v="0"/>
    <s v="5, Main Street"/>
    <s v="Pune"/>
    <s v="Maharashtra"/>
    <x v="2"/>
    <x v="4"/>
    <s v="Courier"/>
    <x v="252"/>
    <n v="8339"/>
    <x v="1"/>
    <n v="24622"/>
  </r>
  <r>
    <n v="255"/>
    <s v="ORD0255"/>
    <s v="INV0255"/>
    <x v="2"/>
    <x v="1"/>
    <s v="Tech Solutions"/>
    <s v="GST81869"/>
    <x v="0"/>
    <s v="61, Main Street"/>
    <s v="Bangalore"/>
    <s v="Karnataka"/>
    <x v="0"/>
    <x v="1"/>
    <s v="Hand Delivery"/>
    <x v="253"/>
    <n v="29857"/>
    <x v="1"/>
    <n v="14837"/>
  </r>
  <r>
    <n v="256"/>
    <s v="ORD0256"/>
    <s v="INV0256"/>
    <x v="8"/>
    <x v="2"/>
    <s v="Sunrise Ltd"/>
    <s v="GST33014"/>
    <x v="4"/>
    <s v="20, Main Street"/>
    <s v="Chennai"/>
    <s v="Tamil Nadu"/>
    <x v="0"/>
    <x v="4"/>
    <s v="Courier"/>
    <x v="254"/>
    <n v="8933"/>
    <x v="1"/>
    <n v="13819"/>
  </r>
  <r>
    <n v="257"/>
    <s v="ORD0257"/>
    <s v="INV0257"/>
    <x v="7"/>
    <x v="3"/>
    <s v="Global Traders"/>
    <s v="GST93954"/>
    <x v="4"/>
    <s v="19, Main Street"/>
    <s v="Pune"/>
    <s v="Maharashtra"/>
    <x v="2"/>
    <x v="2"/>
    <s v="Courier"/>
    <x v="255"/>
    <n v="531"/>
    <x v="1"/>
    <n v="5249"/>
  </r>
  <r>
    <n v="258"/>
    <s v="ORD0258"/>
    <s v="INV0258"/>
    <x v="11"/>
    <x v="2"/>
    <s v="ABC Pvt Ltd"/>
    <s v="GST57597"/>
    <x v="4"/>
    <s v="78, Main Street"/>
    <s v="Mumbai"/>
    <s v="Maharashtra"/>
    <x v="2"/>
    <x v="1"/>
    <s v="Hand Delivery"/>
    <x v="256"/>
    <n v="15405"/>
    <x v="1"/>
    <n v="11047"/>
  </r>
  <r>
    <n v="259"/>
    <s v="ORD0259"/>
    <s v="INV0259"/>
    <x v="8"/>
    <x v="2"/>
    <s v="Global Traders"/>
    <s v="GST94595"/>
    <x v="3"/>
    <s v="38, Main Street"/>
    <s v="Pune"/>
    <s v="Maharashtra"/>
    <x v="2"/>
    <x v="2"/>
    <s v="Courier"/>
    <x v="257"/>
    <n v="4162"/>
    <x v="1"/>
    <n v="12416"/>
  </r>
  <r>
    <n v="260"/>
    <s v="ORD0260"/>
    <s v="INV0260"/>
    <x v="4"/>
    <x v="0"/>
    <s v="ABC Pvt Ltd"/>
    <s v="GST12773"/>
    <x v="1"/>
    <s v="42, Main Street"/>
    <s v="Mumbai"/>
    <s v="Maharashtra"/>
    <x v="2"/>
    <x v="4"/>
    <s v="Courier"/>
    <x v="258"/>
    <n v="696"/>
    <x v="1"/>
    <n v="29057"/>
  </r>
  <r>
    <n v="261"/>
    <s v="ORD0261"/>
    <s v="INV0261"/>
    <x v="6"/>
    <x v="1"/>
    <s v="Sunrise Ltd"/>
    <s v="GST90092"/>
    <x v="2"/>
    <s v="57, Main Street"/>
    <s v="Chennai"/>
    <s v="Tamil Nadu"/>
    <x v="0"/>
    <x v="0"/>
    <s v="Hand Delivery"/>
    <x v="259"/>
    <n v="343"/>
    <x v="1"/>
    <n v="24107"/>
  </r>
  <r>
    <n v="262"/>
    <s v="ORD0262"/>
    <s v="INV0262"/>
    <x v="4"/>
    <x v="0"/>
    <s v="Sunrise Ltd"/>
    <s v="GST71278"/>
    <x v="4"/>
    <s v="83, Main Street"/>
    <s v="Mumbai"/>
    <s v="Maharashtra"/>
    <x v="2"/>
    <x v="0"/>
    <s v="Hand Delivery"/>
    <x v="260"/>
    <n v="6008"/>
    <x v="1"/>
    <n v="15152"/>
  </r>
  <r>
    <n v="263"/>
    <s v="ORD0263"/>
    <s v="INV0263"/>
    <x v="0"/>
    <x v="0"/>
    <s v="Sunrise Ltd"/>
    <s v="GST49780"/>
    <x v="0"/>
    <s v="5, Main Street"/>
    <s v="Chennai"/>
    <s v="Tamil Nadu"/>
    <x v="0"/>
    <x v="4"/>
    <s v="Courier"/>
    <x v="261"/>
    <n v="9023"/>
    <x v="1"/>
    <n v="37260"/>
  </r>
  <r>
    <n v="264"/>
    <s v="ORD0264"/>
    <s v="INV0264"/>
    <x v="1"/>
    <x v="0"/>
    <s v="XYZ Corp"/>
    <s v="GST47324"/>
    <x v="4"/>
    <s v="80, Main Street"/>
    <s v="Chennai"/>
    <s v="Tamil Nadu"/>
    <x v="0"/>
    <x v="3"/>
    <s v="Transport"/>
    <x v="262"/>
    <n v="15646"/>
    <x v="1"/>
    <n v="9276"/>
  </r>
  <r>
    <n v="265"/>
    <s v="ORD0265"/>
    <s v="INV0265"/>
    <x v="1"/>
    <x v="0"/>
    <s v="ABC Pvt Ltd"/>
    <s v="GST62524"/>
    <x v="3"/>
    <s v="34, Main Street"/>
    <s v="Bangalore"/>
    <s v="Karnataka"/>
    <x v="0"/>
    <x v="2"/>
    <s v="Courier"/>
    <x v="263"/>
    <n v="4682"/>
    <x v="1"/>
    <n v="3820"/>
  </r>
  <r>
    <n v="266"/>
    <s v="ORD0266"/>
    <s v="INV0266"/>
    <x v="5"/>
    <x v="1"/>
    <s v="XYZ Corp"/>
    <s v="GST90358"/>
    <x v="2"/>
    <s v="28, Main Street"/>
    <s v="Chennai"/>
    <s v="Tamil Nadu"/>
    <x v="0"/>
    <x v="4"/>
    <s v="Transport"/>
    <x v="264"/>
    <n v="8779"/>
    <x v="1"/>
    <n v="7161"/>
  </r>
  <r>
    <n v="267"/>
    <s v="ORD0267"/>
    <s v="INV0267"/>
    <x v="5"/>
    <x v="1"/>
    <s v="Tech Solutions"/>
    <s v="GST84705"/>
    <x v="1"/>
    <s v="64, Main Street"/>
    <s v="Mumbai"/>
    <s v="Maharashtra"/>
    <x v="2"/>
    <x v="2"/>
    <s v="Hand Delivery"/>
    <x v="265"/>
    <n v="400"/>
    <x v="1"/>
    <n v="5083"/>
  </r>
  <r>
    <n v="268"/>
    <s v="ORD0268"/>
    <s v="INV0268"/>
    <x v="10"/>
    <x v="3"/>
    <s v="XYZ Corp"/>
    <s v="GST85750"/>
    <x v="3"/>
    <s v="88, Main Street"/>
    <s v="Chennai"/>
    <s v="Tamil Nadu"/>
    <x v="0"/>
    <x v="4"/>
    <s v="Courier"/>
    <x v="266"/>
    <n v="2843"/>
    <x v="1"/>
    <n v="2568"/>
  </r>
  <r>
    <n v="269"/>
    <s v="ORD0269"/>
    <s v="INV0269"/>
    <x v="11"/>
    <x v="2"/>
    <s v="XYZ Corp"/>
    <s v="GST51489"/>
    <x v="2"/>
    <s v="31, Main Street"/>
    <s v="Chennai"/>
    <s v="Tamil Nadu"/>
    <x v="0"/>
    <x v="0"/>
    <s v="Transport"/>
    <x v="267"/>
    <n v="11691"/>
    <x v="1"/>
    <n v="1682"/>
  </r>
  <r>
    <n v="270"/>
    <s v="ORD0270"/>
    <s v="INV0270"/>
    <x v="8"/>
    <x v="2"/>
    <s v="Global Traders"/>
    <s v="GST85118"/>
    <x v="2"/>
    <s v="11, Main Street"/>
    <s v="Chennai"/>
    <s v="Tamil Nadu"/>
    <x v="0"/>
    <x v="3"/>
    <s v="Courier"/>
    <x v="268"/>
    <n v="11670"/>
    <x v="1"/>
    <n v="29520"/>
  </r>
  <r>
    <n v="271"/>
    <s v="ORD0271"/>
    <s v="INV0271"/>
    <x v="1"/>
    <x v="0"/>
    <s v="ABC Pvt Ltd"/>
    <s v="GST20960"/>
    <x v="2"/>
    <s v="43, Main Street"/>
    <s v="Chennai"/>
    <s v="Tamil Nadu"/>
    <x v="0"/>
    <x v="1"/>
    <s v="Courier"/>
    <x v="269"/>
    <n v="926"/>
    <x v="1"/>
    <n v="12685"/>
  </r>
  <r>
    <n v="272"/>
    <s v="ORD0272"/>
    <s v="INV0272"/>
    <x v="2"/>
    <x v="1"/>
    <s v="ABC Pvt Ltd"/>
    <s v="GST30853"/>
    <x v="0"/>
    <s v="40, Main Street"/>
    <s v="Bangalore"/>
    <s v="Karnataka"/>
    <x v="0"/>
    <x v="0"/>
    <s v="Hand Delivery"/>
    <x v="270"/>
    <n v="2321"/>
    <x v="1"/>
    <n v="4581"/>
  </r>
  <r>
    <n v="273"/>
    <s v="ORD0273"/>
    <s v="INV0273"/>
    <x v="6"/>
    <x v="1"/>
    <s v="XYZ Corp"/>
    <s v="GST72802"/>
    <x v="4"/>
    <s v="97, Main Street"/>
    <s v="Delhi"/>
    <s v="Delhi"/>
    <x v="1"/>
    <x v="3"/>
    <s v="Transport"/>
    <x v="271"/>
    <n v="280"/>
    <x v="1"/>
    <n v="35581"/>
  </r>
  <r>
    <n v="274"/>
    <s v="ORD0274"/>
    <s v="INV0274"/>
    <x v="10"/>
    <x v="3"/>
    <s v="Sunrise Ltd"/>
    <s v="GST28776"/>
    <x v="4"/>
    <s v="87, Main Street"/>
    <s v="Mumbai"/>
    <s v="Maharashtra"/>
    <x v="2"/>
    <x v="0"/>
    <s v="Hand Delivery"/>
    <x v="272"/>
    <n v="15226"/>
    <x v="1"/>
    <n v="11296"/>
  </r>
  <r>
    <n v="275"/>
    <s v="ORD0275"/>
    <s v="INV0275"/>
    <x v="6"/>
    <x v="1"/>
    <s v="Tech Solutions"/>
    <s v="GST31735"/>
    <x v="1"/>
    <s v="59, Main Street"/>
    <s v="Delhi"/>
    <s v="Delhi"/>
    <x v="1"/>
    <x v="3"/>
    <s v="Hand Delivery"/>
    <x v="273"/>
    <n v="11915"/>
    <x v="1"/>
    <n v="2659"/>
  </r>
  <r>
    <n v="276"/>
    <s v="ORD0276"/>
    <s v="INV0276"/>
    <x v="0"/>
    <x v="0"/>
    <s v="Global Traders"/>
    <s v="GST85630"/>
    <x v="2"/>
    <s v="98, Main Street"/>
    <s v="Bangalore"/>
    <s v="Karnataka"/>
    <x v="0"/>
    <x v="3"/>
    <s v="Hand Delivery"/>
    <x v="274"/>
    <n v="17573"/>
    <x v="1"/>
    <n v="3127"/>
  </r>
  <r>
    <n v="277"/>
    <s v="ORD0277"/>
    <s v="INV0277"/>
    <x v="6"/>
    <x v="1"/>
    <s v="Global Traders"/>
    <s v="GST19565"/>
    <x v="4"/>
    <s v="53, Main Street"/>
    <s v="Chennai"/>
    <s v="Tamil Nadu"/>
    <x v="0"/>
    <x v="0"/>
    <s v="Transport"/>
    <x v="275"/>
    <n v="4668"/>
    <x v="1"/>
    <n v="445"/>
  </r>
  <r>
    <n v="278"/>
    <s v="ORD0278"/>
    <s v="INV0278"/>
    <x v="10"/>
    <x v="3"/>
    <s v="XYZ Corp"/>
    <s v="GST24648"/>
    <x v="0"/>
    <s v="63, Main Street"/>
    <s v="Bangalore"/>
    <s v="Karnataka"/>
    <x v="0"/>
    <x v="2"/>
    <s v="Transport"/>
    <x v="276"/>
    <n v="7616"/>
    <x v="1"/>
    <n v="4989"/>
  </r>
  <r>
    <n v="279"/>
    <s v="ORD0279"/>
    <s v="INV0279"/>
    <x v="10"/>
    <x v="3"/>
    <s v="Tech Solutions"/>
    <s v="GST80962"/>
    <x v="3"/>
    <s v="33, Main Street"/>
    <s v="Bangalore"/>
    <s v="Karnataka"/>
    <x v="0"/>
    <x v="4"/>
    <s v="Hand Delivery"/>
    <x v="277"/>
    <n v="17535"/>
    <x v="1"/>
    <n v="15935"/>
  </r>
  <r>
    <n v="280"/>
    <s v="ORD0280"/>
    <s v="INV0280"/>
    <x v="9"/>
    <x v="3"/>
    <s v="Global Traders"/>
    <s v="GST17174"/>
    <x v="3"/>
    <s v="65, Main Street"/>
    <s v="Mumbai"/>
    <s v="Maharashtra"/>
    <x v="2"/>
    <x v="0"/>
    <s v="Hand Delivery"/>
    <x v="278"/>
    <n v="7929"/>
    <x v="1"/>
    <n v="22134"/>
  </r>
  <r>
    <n v="281"/>
    <s v="ORD0281"/>
    <s v="INV0281"/>
    <x v="7"/>
    <x v="3"/>
    <s v="ABC Pvt Ltd"/>
    <s v="GST64031"/>
    <x v="2"/>
    <s v="21, Main Street"/>
    <s v="Mumbai"/>
    <s v="Maharashtra"/>
    <x v="2"/>
    <x v="2"/>
    <s v="Hand Delivery"/>
    <x v="279"/>
    <n v="10504"/>
    <x v="1"/>
    <n v="21484"/>
  </r>
  <r>
    <n v="282"/>
    <s v="ORD0282"/>
    <s v="INV0282"/>
    <x v="10"/>
    <x v="3"/>
    <s v="Tech Solutions"/>
    <s v="GST79155"/>
    <x v="4"/>
    <s v="81, Main Street"/>
    <s v="Mumbai"/>
    <s v="Maharashtra"/>
    <x v="2"/>
    <x v="0"/>
    <s v="Courier"/>
    <x v="280"/>
    <n v="29077"/>
    <x v="1"/>
    <n v="7523"/>
  </r>
  <r>
    <n v="283"/>
    <s v="ORD0283"/>
    <s v="INV0283"/>
    <x v="3"/>
    <x v="2"/>
    <s v="Tech Solutions"/>
    <s v="GST65318"/>
    <x v="0"/>
    <s v="64, Main Street"/>
    <s v="Bangalore"/>
    <s v="Karnataka"/>
    <x v="0"/>
    <x v="1"/>
    <s v="Courier"/>
    <x v="281"/>
    <n v="2940"/>
    <x v="1"/>
    <n v="20440"/>
  </r>
  <r>
    <n v="284"/>
    <s v="ORD0284"/>
    <s v="INV0284"/>
    <x v="0"/>
    <x v="0"/>
    <s v="Global Traders"/>
    <s v="GST64340"/>
    <x v="0"/>
    <s v="32, Main Street"/>
    <s v="Bangalore"/>
    <s v="Karnataka"/>
    <x v="0"/>
    <x v="1"/>
    <s v="Transport"/>
    <x v="282"/>
    <n v="5009"/>
    <x v="1"/>
    <n v="11827"/>
  </r>
  <r>
    <n v="285"/>
    <s v="ORD0285"/>
    <s v="INV0285"/>
    <x v="1"/>
    <x v="0"/>
    <s v="ABC Pvt Ltd"/>
    <s v="GST52393"/>
    <x v="3"/>
    <s v="34, Main Street"/>
    <s v="Chennai"/>
    <s v="Tamil Nadu"/>
    <x v="0"/>
    <x v="2"/>
    <s v="Courier"/>
    <x v="283"/>
    <n v="8072"/>
    <x v="1"/>
    <n v="35899"/>
  </r>
  <r>
    <n v="286"/>
    <s v="ORD0286"/>
    <s v="INV0286"/>
    <x v="8"/>
    <x v="2"/>
    <s v="Global Traders"/>
    <s v="GST36560"/>
    <x v="1"/>
    <s v="6, Main Street"/>
    <s v="Pune"/>
    <s v="Maharashtra"/>
    <x v="2"/>
    <x v="4"/>
    <s v="Hand Delivery"/>
    <x v="284"/>
    <n v="35358"/>
    <x v="1"/>
    <n v="1363"/>
  </r>
  <r>
    <n v="287"/>
    <s v="ORD0287"/>
    <s v="INV0287"/>
    <x v="1"/>
    <x v="0"/>
    <s v="Global Traders"/>
    <s v="GST81569"/>
    <x v="3"/>
    <s v="90, Main Street"/>
    <s v="Chennai"/>
    <s v="Tamil Nadu"/>
    <x v="0"/>
    <x v="4"/>
    <s v="Courier"/>
    <x v="285"/>
    <n v="27380"/>
    <x v="1"/>
    <n v="72"/>
  </r>
  <r>
    <n v="288"/>
    <s v="ORD0288"/>
    <s v="INV0288"/>
    <x v="8"/>
    <x v="2"/>
    <s v="Sunrise Ltd"/>
    <s v="GST96617"/>
    <x v="2"/>
    <s v="79, Main Street"/>
    <s v="Pune"/>
    <s v="Maharashtra"/>
    <x v="2"/>
    <x v="1"/>
    <s v="Transport"/>
    <x v="286"/>
    <n v="10140"/>
    <x v="1"/>
    <n v="34542"/>
  </r>
  <r>
    <n v="289"/>
    <s v="ORD0289"/>
    <s v="INV0289"/>
    <x v="1"/>
    <x v="0"/>
    <s v="Sunrise Ltd"/>
    <s v="GST69252"/>
    <x v="0"/>
    <s v="40, Main Street"/>
    <s v="Bangalore"/>
    <s v="Karnataka"/>
    <x v="0"/>
    <x v="4"/>
    <s v="Courier"/>
    <x v="287"/>
    <n v="3730"/>
    <x v="1"/>
    <n v="5286"/>
  </r>
  <r>
    <n v="290"/>
    <s v="ORD0290"/>
    <s v="INV0290"/>
    <x v="10"/>
    <x v="3"/>
    <s v="XYZ Corp"/>
    <s v="GST70362"/>
    <x v="4"/>
    <s v="67, Main Street"/>
    <s v="Mumbai"/>
    <s v="Maharashtra"/>
    <x v="2"/>
    <x v="3"/>
    <s v="Transport"/>
    <x v="288"/>
    <n v="18406"/>
    <x v="1"/>
    <n v="3749"/>
  </r>
  <r>
    <n v="291"/>
    <s v="ORD0291"/>
    <s v="INV0291"/>
    <x v="1"/>
    <x v="0"/>
    <s v="Tech Solutions"/>
    <s v="GST93580"/>
    <x v="1"/>
    <s v="45, Main Street"/>
    <s v="Delhi"/>
    <s v="Delhi"/>
    <x v="1"/>
    <x v="3"/>
    <s v="Hand Delivery"/>
    <x v="289"/>
    <n v="5867"/>
    <x v="1"/>
    <n v="5472"/>
  </r>
  <r>
    <n v="292"/>
    <s v="ORD0292"/>
    <s v="INV0292"/>
    <x v="4"/>
    <x v="0"/>
    <s v="ABC Pvt Ltd"/>
    <s v="GST73097"/>
    <x v="1"/>
    <s v="98, Main Street"/>
    <s v="Delhi"/>
    <s v="Delhi"/>
    <x v="1"/>
    <x v="1"/>
    <s v="Courier"/>
    <x v="290"/>
    <n v="26957"/>
    <x v="1"/>
    <n v="3925"/>
  </r>
  <r>
    <n v="293"/>
    <s v="ORD0293"/>
    <s v="INV0293"/>
    <x v="7"/>
    <x v="3"/>
    <s v="ABC Pvt Ltd"/>
    <s v="GST82756"/>
    <x v="2"/>
    <s v="1, Main Street"/>
    <s v="Pune"/>
    <s v="Maharashtra"/>
    <x v="2"/>
    <x v="4"/>
    <s v="Courier"/>
    <x v="291"/>
    <n v="16042"/>
    <x v="1"/>
    <n v="17746"/>
  </r>
  <r>
    <n v="294"/>
    <s v="ORD0294"/>
    <s v="INV0294"/>
    <x v="2"/>
    <x v="1"/>
    <s v="ABC Pvt Ltd"/>
    <s v="GST37067"/>
    <x v="1"/>
    <s v="86, Main Street"/>
    <s v="Pune"/>
    <s v="Maharashtra"/>
    <x v="2"/>
    <x v="0"/>
    <s v="Transport"/>
    <x v="292"/>
    <n v="24314"/>
    <x v="1"/>
    <n v="22829"/>
  </r>
  <r>
    <n v="295"/>
    <s v="ORD0295"/>
    <s v="INV0295"/>
    <x v="11"/>
    <x v="2"/>
    <s v="Tech Solutions"/>
    <s v="GST76985"/>
    <x v="1"/>
    <s v="63, Main Street"/>
    <s v="Delhi"/>
    <s v="Delhi"/>
    <x v="1"/>
    <x v="0"/>
    <s v="Transport"/>
    <x v="293"/>
    <n v="13395"/>
    <x v="1"/>
    <n v="28174"/>
  </r>
  <r>
    <n v="296"/>
    <s v="ORD0296"/>
    <s v="INV0296"/>
    <x v="2"/>
    <x v="1"/>
    <s v="Tech Solutions"/>
    <s v="GST41166"/>
    <x v="2"/>
    <s v="23, Main Street"/>
    <s v="Mumbai"/>
    <s v="Maharashtra"/>
    <x v="2"/>
    <x v="4"/>
    <s v="Transport"/>
    <x v="294"/>
    <n v="14122"/>
    <x v="1"/>
    <n v="1774"/>
  </r>
  <r>
    <n v="297"/>
    <s v="ORD0297"/>
    <s v="INV0297"/>
    <x v="9"/>
    <x v="3"/>
    <s v="ABC Pvt Ltd"/>
    <s v="GST57960"/>
    <x v="4"/>
    <s v="82, Main Street"/>
    <s v="Mumbai"/>
    <s v="Maharashtra"/>
    <x v="2"/>
    <x v="3"/>
    <s v="Hand Delivery"/>
    <x v="295"/>
    <n v="1310"/>
    <x v="1"/>
    <n v="5677"/>
  </r>
  <r>
    <n v="298"/>
    <s v="ORD0298"/>
    <s v="INV0298"/>
    <x v="7"/>
    <x v="3"/>
    <s v="Tech Solutions"/>
    <s v="GST22239"/>
    <x v="1"/>
    <s v="35, Main Street"/>
    <s v="Chennai"/>
    <s v="Tamil Nadu"/>
    <x v="0"/>
    <x v="0"/>
    <s v="Hand Delivery"/>
    <x v="296"/>
    <n v="18709"/>
    <x v="1"/>
    <n v="10098"/>
  </r>
  <r>
    <n v="299"/>
    <s v="ORD0299"/>
    <s v="INV0299"/>
    <x v="3"/>
    <x v="2"/>
    <s v="XYZ Corp"/>
    <s v="GST72847"/>
    <x v="0"/>
    <s v="28, Main Street"/>
    <s v="Chennai"/>
    <s v="Tamil Nadu"/>
    <x v="0"/>
    <x v="1"/>
    <s v="Courier"/>
    <x v="297"/>
    <n v="10315"/>
    <x v="1"/>
    <n v="7194"/>
  </r>
  <r>
    <n v="300"/>
    <s v="ORD0300"/>
    <s v="INV0300"/>
    <x v="7"/>
    <x v="3"/>
    <s v="ABC Pvt Ltd"/>
    <s v="GST86838"/>
    <x v="3"/>
    <s v="40, Main Street"/>
    <s v="Pune"/>
    <s v="Maharashtra"/>
    <x v="2"/>
    <x v="0"/>
    <s v="Transport"/>
    <x v="298"/>
    <n v="9031"/>
    <x v="1"/>
    <n v="22975"/>
  </r>
  <r>
    <n v="301"/>
    <s v="ORD0301"/>
    <s v="INV0301"/>
    <x v="9"/>
    <x v="3"/>
    <s v="Global Traders"/>
    <s v="GST17951"/>
    <x v="4"/>
    <s v="76, Main Street"/>
    <s v="Bangalore"/>
    <s v="Karnataka"/>
    <x v="0"/>
    <x v="4"/>
    <s v="Courier"/>
    <x v="299"/>
    <n v="26934"/>
    <x v="1"/>
    <n v="9018"/>
  </r>
  <r>
    <n v="302"/>
    <s v="ORD0302"/>
    <s v="INV0302"/>
    <x v="1"/>
    <x v="0"/>
    <s v="XYZ Corp"/>
    <s v="GST29999"/>
    <x v="2"/>
    <s v="57, Main Street"/>
    <s v="Pune"/>
    <s v="Maharashtra"/>
    <x v="2"/>
    <x v="2"/>
    <s v="Transport"/>
    <x v="300"/>
    <n v="8534"/>
    <x v="1"/>
    <n v="2741"/>
  </r>
  <r>
    <n v="303"/>
    <s v="ORD0303"/>
    <s v="INV0303"/>
    <x v="0"/>
    <x v="0"/>
    <s v="XYZ Corp"/>
    <s v="GST26424"/>
    <x v="2"/>
    <s v="33, Main Street"/>
    <s v="Delhi"/>
    <s v="Delhi"/>
    <x v="1"/>
    <x v="1"/>
    <s v="Transport"/>
    <x v="301"/>
    <n v="1465"/>
    <x v="1"/>
    <n v="4224"/>
  </r>
  <r>
    <n v="304"/>
    <s v="ORD0304"/>
    <s v="INV0304"/>
    <x v="1"/>
    <x v="0"/>
    <s v="Global Traders"/>
    <s v="GST76547"/>
    <x v="0"/>
    <s v="40, Main Street"/>
    <s v="Mumbai"/>
    <s v="Maharashtra"/>
    <x v="2"/>
    <x v="3"/>
    <s v="Courier"/>
    <x v="302"/>
    <n v="4937"/>
    <x v="1"/>
    <n v="6300"/>
  </r>
  <r>
    <n v="305"/>
    <s v="ORD0305"/>
    <s v="INV0305"/>
    <x v="10"/>
    <x v="3"/>
    <s v="Global Traders"/>
    <s v="GST95088"/>
    <x v="1"/>
    <s v="39, Main Street"/>
    <s v="Mumbai"/>
    <s v="Maharashtra"/>
    <x v="2"/>
    <x v="2"/>
    <s v="Transport"/>
    <x v="303"/>
    <n v="39828"/>
    <x v="1"/>
    <n v="2635"/>
  </r>
  <r>
    <n v="306"/>
    <s v="ORD0306"/>
    <s v="INV0306"/>
    <x v="0"/>
    <x v="0"/>
    <s v="Global Traders"/>
    <s v="GST20910"/>
    <x v="1"/>
    <s v="34, Main Street"/>
    <s v="Bangalore"/>
    <s v="Karnataka"/>
    <x v="0"/>
    <x v="0"/>
    <s v="Hand Delivery"/>
    <x v="304"/>
    <n v="25867"/>
    <x v="1"/>
    <n v="8277"/>
  </r>
  <r>
    <n v="307"/>
    <s v="ORD0307"/>
    <s v="INV0307"/>
    <x v="6"/>
    <x v="1"/>
    <s v="Tech Solutions"/>
    <s v="GST25208"/>
    <x v="1"/>
    <s v="58, Main Street"/>
    <s v="Mumbai"/>
    <s v="Maharashtra"/>
    <x v="2"/>
    <x v="2"/>
    <s v="Courier"/>
    <x v="305"/>
    <n v="40840"/>
    <x v="1"/>
    <n v="3078"/>
  </r>
  <r>
    <n v="308"/>
    <s v="ORD0308"/>
    <s v="INV0308"/>
    <x v="9"/>
    <x v="3"/>
    <s v="Tech Solutions"/>
    <s v="GST18857"/>
    <x v="0"/>
    <s v="18, Main Street"/>
    <s v="Pune"/>
    <s v="Maharashtra"/>
    <x v="2"/>
    <x v="1"/>
    <s v="Hand Delivery"/>
    <x v="306"/>
    <n v="16171"/>
    <x v="1"/>
    <n v="12943"/>
  </r>
  <r>
    <n v="309"/>
    <s v="ORD0309"/>
    <s v="INV0309"/>
    <x v="1"/>
    <x v="0"/>
    <s v="Global Traders"/>
    <s v="GST56397"/>
    <x v="2"/>
    <s v="23, Main Street"/>
    <s v="Chennai"/>
    <s v="Tamil Nadu"/>
    <x v="0"/>
    <x v="2"/>
    <s v="Hand Delivery"/>
    <x v="307"/>
    <n v="5102"/>
    <x v="1"/>
    <n v="40948"/>
  </r>
  <r>
    <n v="310"/>
    <s v="ORD0310"/>
    <s v="INV0310"/>
    <x v="8"/>
    <x v="2"/>
    <s v="ABC Pvt Ltd"/>
    <s v="GST40125"/>
    <x v="2"/>
    <s v="94, Main Street"/>
    <s v="Mumbai"/>
    <s v="Maharashtra"/>
    <x v="2"/>
    <x v="2"/>
    <s v="Transport"/>
    <x v="308"/>
    <n v="8372"/>
    <x v="1"/>
    <n v="12836"/>
  </r>
  <r>
    <n v="311"/>
    <s v="ORD0311"/>
    <s v="INV0311"/>
    <x v="10"/>
    <x v="3"/>
    <s v="ABC Pvt Ltd"/>
    <s v="GST35882"/>
    <x v="0"/>
    <s v="86, Main Street"/>
    <s v="Delhi"/>
    <s v="Delhi"/>
    <x v="1"/>
    <x v="4"/>
    <s v="Transport"/>
    <x v="309"/>
    <n v="28991"/>
    <x v="1"/>
    <n v="9650"/>
  </r>
  <r>
    <n v="312"/>
    <s v="ORD0312"/>
    <s v="INV0312"/>
    <x v="10"/>
    <x v="3"/>
    <s v="Tech Solutions"/>
    <s v="GST26692"/>
    <x v="0"/>
    <s v="8, Main Street"/>
    <s v="Chennai"/>
    <s v="Tamil Nadu"/>
    <x v="0"/>
    <x v="4"/>
    <s v="Hand Delivery"/>
    <x v="310"/>
    <n v="3550"/>
    <x v="1"/>
    <n v="9725"/>
  </r>
  <r>
    <n v="313"/>
    <s v="ORD0313"/>
    <s v="INV0313"/>
    <x v="4"/>
    <x v="0"/>
    <s v="Tech Solutions"/>
    <s v="GST27060"/>
    <x v="4"/>
    <s v="70, Main Street"/>
    <s v="Mumbai"/>
    <s v="Maharashtra"/>
    <x v="2"/>
    <x v="0"/>
    <s v="Hand Delivery"/>
    <x v="311"/>
    <n v="12581"/>
    <x v="1"/>
    <n v="21130"/>
  </r>
  <r>
    <n v="314"/>
    <s v="ORD0314"/>
    <s v="INV0314"/>
    <x v="10"/>
    <x v="3"/>
    <s v="ABC Pvt Ltd"/>
    <s v="GST41034"/>
    <x v="0"/>
    <s v="63, Main Street"/>
    <s v="Pune"/>
    <s v="Maharashtra"/>
    <x v="2"/>
    <x v="4"/>
    <s v="Courier"/>
    <x v="312"/>
    <n v="19555"/>
    <x v="1"/>
    <n v="12942"/>
  </r>
  <r>
    <n v="315"/>
    <s v="ORD0315"/>
    <s v="INV0315"/>
    <x v="5"/>
    <x v="1"/>
    <s v="ABC Pvt Ltd"/>
    <s v="GST98687"/>
    <x v="1"/>
    <s v="48, Main Street"/>
    <s v="Pune"/>
    <s v="Maharashtra"/>
    <x v="2"/>
    <x v="4"/>
    <s v="Transport"/>
    <x v="313"/>
    <n v="1128"/>
    <x v="1"/>
    <n v="35418"/>
  </r>
  <r>
    <n v="316"/>
    <s v="ORD0316"/>
    <s v="INV0316"/>
    <x v="7"/>
    <x v="3"/>
    <s v="ABC Pvt Ltd"/>
    <s v="GST10480"/>
    <x v="0"/>
    <s v="80, Main Street"/>
    <s v="Bangalore"/>
    <s v="Karnataka"/>
    <x v="0"/>
    <x v="2"/>
    <s v="Courier"/>
    <x v="314"/>
    <n v="8094"/>
    <x v="1"/>
    <n v="7400"/>
  </r>
  <r>
    <n v="317"/>
    <s v="ORD0317"/>
    <s v="INV0317"/>
    <x v="11"/>
    <x v="2"/>
    <s v="Global Traders"/>
    <s v="GST68122"/>
    <x v="1"/>
    <s v="80, Main Street"/>
    <s v="Pune"/>
    <s v="Maharashtra"/>
    <x v="2"/>
    <x v="0"/>
    <s v="Courier"/>
    <x v="315"/>
    <n v="17198"/>
    <x v="1"/>
    <n v="12579"/>
  </r>
  <r>
    <n v="318"/>
    <s v="ORD0318"/>
    <s v="INV0318"/>
    <x v="7"/>
    <x v="3"/>
    <s v="XYZ Corp"/>
    <s v="GST62316"/>
    <x v="1"/>
    <s v="74, Main Street"/>
    <s v="Bangalore"/>
    <s v="Karnataka"/>
    <x v="0"/>
    <x v="2"/>
    <s v="Courier"/>
    <x v="316"/>
    <n v="2599"/>
    <x v="1"/>
    <n v="23980"/>
  </r>
  <r>
    <n v="319"/>
    <s v="ORD0319"/>
    <s v="INV0319"/>
    <x v="0"/>
    <x v="0"/>
    <s v="Sunrise Ltd"/>
    <s v="GST96611"/>
    <x v="4"/>
    <s v="24, Main Street"/>
    <s v="Mumbai"/>
    <s v="Maharashtra"/>
    <x v="2"/>
    <x v="4"/>
    <s v="Transport"/>
    <x v="317"/>
    <n v="10869"/>
    <x v="1"/>
    <n v="8800"/>
  </r>
  <r>
    <n v="320"/>
    <s v="ORD0320"/>
    <s v="INV0320"/>
    <x v="4"/>
    <x v="0"/>
    <s v="XYZ Corp"/>
    <s v="GST59227"/>
    <x v="1"/>
    <s v="75, Main Street"/>
    <s v="Delhi"/>
    <s v="Delhi"/>
    <x v="1"/>
    <x v="0"/>
    <s v="Courier"/>
    <x v="318"/>
    <n v="6081"/>
    <x v="1"/>
    <n v="42247"/>
  </r>
  <r>
    <n v="321"/>
    <s v="ORD0321"/>
    <s v="INV0321"/>
    <x v="1"/>
    <x v="0"/>
    <s v="Sunrise Ltd"/>
    <s v="GST63521"/>
    <x v="4"/>
    <s v="86, Main Street"/>
    <s v="Chennai"/>
    <s v="Tamil Nadu"/>
    <x v="0"/>
    <x v="2"/>
    <s v="Transport"/>
    <x v="319"/>
    <n v="18460"/>
    <x v="1"/>
    <n v="5058"/>
  </r>
  <r>
    <n v="322"/>
    <s v="ORD0322"/>
    <s v="INV0322"/>
    <x v="2"/>
    <x v="1"/>
    <s v="Sunrise Ltd"/>
    <s v="GST52608"/>
    <x v="4"/>
    <s v="98, Main Street"/>
    <s v="Pune"/>
    <s v="Maharashtra"/>
    <x v="2"/>
    <x v="1"/>
    <s v="Transport"/>
    <x v="277"/>
    <n v="5283"/>
    <x v="1"/>
    <n v="28187"/>
  </r>
  <r>
    <n v="323"/>
    <s v="ORD0323"/>
    <s v="INV0323"/>
    <x v="4"/>
    <x v="0"/>
    <s v="Global Traders"/>
    <s v="GST70188"/>
    <x v="0"/>
    <s v="99, Main Street"/>
    <s v="Delhi"/>
    <s v="Delhi"/>
    <x v="1"/>
    <x v="4"/>
    <s v="Courier"/>
    <x v="320"/>
    <n v="6300"/>
    <x v="1"/>
    <n v="33275"/>
  </r>
  <r>
    <n v="324"/>
    <s v="ORD0324"/>
    <s v="INV0324"/>
    <x v="0"/>
    <x v="0"/>
    <s v="Tech Solutions"/>
    <s v="GST12304"/>
    <x v="0"/>
    <s v="7, Main Street"/>
    <s v="Mumbai"/>
    <s v="Maharashtra"/>
    <x v="2"/>
    <x v="2"/>
    <s v="Courier"/>
    <x v="321"/>
    <n v="18080"/>
    <x v="1"/>
    <n v="12446"/>
  </r>
  <r>
    <n v="325"/>
    <s v="ORD0325"/>
    <s v="INV0325"/>
    <x v="7"/>
    <x v="3"/>
    <s v="ABC Pvt Ltd"/>
    <s v="GST95285"/>
    <x v="2"/>
    <s v="62, Main Street"/>
    <s v="Delhi"/>
    <s v="Delhi"/>
    <x v="1"/>
    <x v="1"/>
    <s v="Hand Delivery"/>
    <x v="322"/>
    <n v="530"/>
    <x v="1"/>
    <n v="4994"/>
  </r>
  <r>
    <n v="326"/>
    <s v="ORD0326"/>
    <s v="INV0326"/>
    <x v="5"/>
    <x v="1"/>
    <s v="Sunrise Ltd"/>
    <s v="GST59643"/>
    <x v="3"/>
    <s v="43, Main Street"/>
    <s v="Mumbai"/>
    <s v="Maharashtra"/>
    <x v="2"/>
    <x v="4"/>
    <s v="Courier"/>
    <x v="323"/>
    <n v="20533"/>
    <x v="1"/>
    <n v="14792"/>
  </r>
  <r>
    <n v="327"/>
    <s v="ORD0327"/>
    <s v="INV0327"/>
    <x v="3"/>
    <x v="2"/>
    <s v="XYZ Corp"/>
    <s v="GST46579"/>
    <x v="0"/>
    <s v="66, Main Street"/>
    <s v="Chennai"/>
    <s v="Tamil Nadu"/>
    <x v="0"/>
    <x v="0"/>
    <s v="Courier"/>
    <x v="324"/>
    <n v="16678"/>
    <x v="1"/>
    <n v="12742"/>
  </r>
  <r>
    <n v="328"/>
    <s v="ORD0328"/>
    <s v="INV0328"/>
    <x v="11"/>
    <x v="2"/>
    <s v="Tech Solutions"/>
    <s v="GST39951"/>
    <x v="0"/>
    <s v="31, Main Street"/>
    <s v="Bangalore"/>
    <s v="Karnataka"/>
    <x v="0"/>
    <x v="2"/>
    <s v="Hand Delivery"/>
    <x v="325"/>
    <n v="515"/>
    <x v="1"/>
    <n v="6001"/>
  </r>
  <r>
    <n v="329"/>
    <s v="ORD0329"/>
    <s v="INV0329"/>
    <x v="4"/>
    <x v="0"/>
    <s v="Tech Solutions"/>
    <s v="GST28666"/>
    <x v="1"/>
    <s v="1, Main Street"/>
    <s v="Mumbai"/>
    <s v="Maharashtra"/>
    <x v="2"/>
    <x v="2"/>
    <s v="Courier"/>
    <x v="326"/>
    <n v="13632"/>
    <x v="1"/>
    <n v="26280"/>
  </r>
  <r>
    <n v="330"/>
    <s v="ORD0330"/>
    <s v="INV0330"/>
    <x v="10"/>
    <x v="3"/>
    <s v="XYZ Corp"/>
    <s v="GST38738"/>
    <x v="4"/>
    <s v="22, Main Street"/>
    <s v="Bangalore"/>
    <s v="Karnataka"/>
    <x v="0"/>
    <x v="2"/>
    <s v="Courier"/>
    <x v="327"/>
    <n v="12631"/>
    <x v="1"/>
    <n v="5310"/>
  </r>
  <r>
    <n v="331"/>
    <s v="ORD0331"/>
    <s v="INV0331"/>
    <x v="8"/>
    <x v="2"/>
    <s v="Tech Solutions"/>
    <s v="GST34344"/>
    <x v="4"/>
    <s v="47, Main Street"/>
    <s v="Chennai"/>
    <s v="Tamil Nadu"/>
    <x v="0"/>
    <x v="1"/>
    <s v="Transport"/>
    <x v="328"/>
    <n v="15063"/>
    <x v="1"/>
    <n v="29144"/>
  </r>
  <r>
    <n v="332"/>
    <s v="ORD0332"/>
    <s v="INV0332"/>
    <x v="4"/>
    <x v="0"/>
    <s v="XYZ Corp"/>
    <s v="GST11294"/>
    <x v="3"/>
    <s v="31, Main Street"/>
    <s v="Pune"/>
    <s v="Maharashtra"/>
    <x v="2"/>
    <x v="1"/>
    <s v="Courier"/>
    <x v="329"/>
    <n v="23903"/>
    <x v="1"/>
    <n v="16255"/>
  </r>
  <r>
    <n v="333"/>
    <s v="ORD0333"/>
    <s v="INV0333"/>
    <x v="11"/>
    <x v="2"/>
    <s v="ABC Pvt Ltd"/>
    <s v="GST17581"/>
    <x v="4"/>
    <s v="31, Main Street"/>
    <s v="Mumbai"/>
    <s v="Maharashtra"/>
    <x v="2"/>
    <x v="4"/>
    <s v="Transport"/>
    <x v="330"/>
    <n v="23701"/>
    <x v="1"/>
    <n v="17388"/>
  </r>
  <r>
    <n v="334"/>
    <s v="ORD0334"/>
    <s v="INV0334"/>
    <x v="10"/>
    <x v="3"/>
    <s v="XYZ Corp"/>
    <s v="GST83118"/>
    <x v="2"/>
    <s v="47, Main Street"/>
    <s v="Delhi"/>
    <s v="Delhi"/>
    <x v="1"/>
    <x v="1"/>
    <s v="Transport"/>
    <x v="331"/>
    <n v="2133"/>
    <x v="1"/>
    <n v="9739"/>
  </r>
  <r>
    <n v="335"/>
    <s v="ORD0335"/>
    <s v="INV0335"/>
    <x v="9"/>
    <x v="3"/>
    <s v="ABC Pvt Ltd"/>
    <s v="GST31979"/>
    <x v="0"/>
    <s v="23, Main Street"/>
    <s v="Delhi"/>
    <s v="Delhi"/>
    <x v="1"/>
    <x v="4"/>
    <s v="Courier"/>
    <x v="332"/>
    <n v="7470"/>
    <x v="1"/>
    <n v="38939"/>
  </r>
  <r>
    <n v="336"/>
    <s v="ORD0336"/>
    <s v="INV0336"/>
    <x v="10"/>
    <x v="3"/>
    <s v="ABC Pvt Ltd"/>
    <s v="GST65451"/>
    <x v="4"/>
    <s v="99, Main Street"/>
    <s v="Pune"/>
    <s v="Maharashtra"/>
    <x v="2"/>
    <x v="1"/>
    <s v="Courier"/>
    <x v="333"/>
    <n v="121"/>
    <x v="1"/>
    <n v="10231"/>
  </r>
  <r>
    <n v="337"/>
    <s v="ORD0337"/>
    <s v="INV0337"/>
    <x v="3"/>
    <x v="2"/>
    <s v="Tech Solutions"/>
    <s v="GST65371"/>
    <x v="4"/>
    <s v="72, Main Street"/>
    <s v="Chennai"/>
    <s v="Tamil Nadu"/>
    <x v="0"/>
    <x v="2"/>
    <s v="Hand Delivery"/>
    <x v="334"/>
    <n v="8578"/>
    <x v="1"/>
    <n v="8978"/>
  </r>
  <r>
    <n v="338"/>
    <s v="ORD0338"/>
    <s v="INV0338"/>
    <x v="2"/>
    <x v="1"/>
    <s v="Sunrise Ltd"/>
    <s v="GST82966"/>
    <x v="3"/>
    <s v="81, Main Street"/>
    <s v="Mumbai"/>
    <s v="Maharashtra"/>
    <x v="2"/>
    <x v="1"/>
    <s v="Hand Delivery"/>
    <x v="335"/>
    <n v="9005"/>
    <x v="1"/>
    <n v="21264"/>
  </r>
  <r>
    <n v="339"/>
    <s v="ORD0339"/>
    <s v="INV0339"/>
    <x v="3"/>
    <x v="2"/>
    <s v="Tech Solutions"/>
    <s v="GST63135"/>
    <x v="4"/>
    <s v="72, Main Street"/>
    <s v="Pune"/>
    <s v="Maharashtra"/>
    <x v="2"/>
    <x v="3"/>
    <s v="Courier"/>
    <x v="336"/>
    <n v="6803"/>
    <x v="1"/>
    <n v="2740"/>
  </r>
  <r>
    <n v="340"/>
    <s v="ORD0340"/>
    <s v="INV0340"/>
    <x v="0"/>
    <x v="0"/>
    <s v="Sunrise Ltd"/>
    <s v="GST74960"/>
    <x v="4"/>
    <s v="100, Main Street"/>
    <s v="Bangalore"/>
    <s v="Karnataka"/>
    <x v="0"/>
    <x v="4"/>
    <s v="Hand Delivery"/>
    <x v="337"/>
    <n v="43367"/>
    <x v="1"/>
    <n v="3674"/>
  </r>
  <r>
    <n v="341"/>
    <s v="ORD0341"/>
    <s v="INV0341"/>
    <x v="5"/>
    <x v="1"/>
    <s v="Tech Solutions"/>
    <s v="GST98186"/>
    <x v="2"/>
    <s v="81, Main Street"/>
    <s v="Pune"/>
    <s v="Maharashtra"/>
    <x v="2"/>
    <x v="0"/>
    <s v="Courier"/>
    <x v="338"/>
    <n v="8322"/>
    <x v="1"/>
    <n v="26637"/>
  </r>
  <r>
    <n v="342"/>
    <s v="ORD0342"/>
    <s v="INV0342"/>
    <x v="10"/>
    <x v="3"/>
    <s v="Sunrise Ltd"/>
    <s v="GST80547"/>
    <x v="3"/>
    <s v="68, Main Street"/>
    <s v="Mumbai"/>
    <s v="Maharashtra"/>
    <x v="2"/>
    <x v="2"/>
    <s v="Courier"/>
    <x v="339"/>
    <n v="9766"/>
    <x v="1"/>
    <n v="13691"/>
  </r>
  <r>
    <n v="343"/>
    <s v="ORD0343"/>
    <s v="INV0343"/>
    <x v="7"/>
    <x v="3"/>
    <s v="Global Traders"/>
    <s v="GST14649"/>
    <x v="3"/>
    <s v="23, Main Street"/>
    <s v="Chennai"/>
    <s v="Tamil Nadu"/>
    <x v="0"/>
    <x v="3"/>
    <s v="Transport"/>
    <x v="340"/>
    <n v="10921"/>
    <x v="1"/>
    <n v="29065"/>
  </r>
  <r>
    <n v="344"/>
    <s v="ORD0344"/>
    <s v="INV0344"/>
    <x v="9"/>
    <x v="3"/>
    <s v="ABC Pvt Ltd"/>
    <s v="GST67585"/>
    <x v="0"/>
    <s v="23, Main Street"/>
    <s v="Chennai"/>
    <s v="Tamil Nadu"/>
    <x v="0"/>
    <x v="2"/>
    <s v="Transport"/>
    <x v="341"/>
    <n v="11863"/>
    <x v="1"/>
    <n v="2198"/>
  </r>
  <r>
    <n v="345"/>
    <s v="ORD0345"/>
    <s v="INV0345"/>
    <x v="10"/>
    <x v="3"/>
    <s v="Global Traders"/>
    <s v="GST77387"/>
    <x v="4"/>
    <s v="26, Main Street"/>
    <s v="Mumbai"/>
    <s v="Maharashtra"/>
    <x v="2"/>
    <x v="1"/>
    <s v="Courier"/>
    <x v="342"/>
    <n v="719"/>
    <x v="1"/>
    <n v="15937"/>
  </r>
  <r>
    <n v="346"/>
    <s v="ORD0346"/>
    <s v="INV0346"/>
    <x v="8"/>
    <x v="2"/>
    <s v="Global Traders"/>
    <s v="GST36709"/>
    <x v="3"/>
    <s v="44, Main Street"/>
    <s v="Chennai"/>
    <s v="Tamil Nadu"/>
    <x v="0"/>
    <x v="0"/>
    <s v="Courier"/>
    <x v="343"/>
    <n v="11815"/>
    <x v="1"/>
    <n v="14351"/>
  </r>
  <r>
    <n v="347"/>
    <s v="ORD0347"/>
    <s v="INV0347"/>
    <x v="4"/>
    <x v="0"/>
    <s v="Tech Solutions"/>
    <s v="GST10655"/>
    <x v="2"/>
    <s v="91, Main Street"/>
    <s v="Chennai"/>
    <s v="Tamil Nadu"/>
    <x v="0"/>
    <x v="4"/>
    <s v="Hand Delivery"/>
    <x v="344"/>
    <n v="37115"/>
    <x v="1"/>
    <n v="2363"/>
  </r>
  <r>
    <n v="348"/>
    <s v="ORD0348"/>
    <s v="INV0348"/>
    <x v="8"/>
    <x v="2"/>
    <s v="XYZ Corp"/>
    <s v="GST97268"/>
    <x v="3"/>
    <s v="16, Main Street"/>
    <s v="Mumbai"/>
    <s v="Maharashtra"/>
    <x v="2"/>
    <x v="1"/>
    <s v="Hand Delivery"/>
    <x v="345"/>
    <n v="3388"/>
    <x v="1"/>
    <n v="3125"/>
  </r>
  <r>
    <n v="349"/>
    <s v="ORD0349"/>
    <s v="INV0349"/>
    <x v="6"/>
    <x v="1"/>
    <s v="XYZ Corp"/>
    <s v="GST78956"/>
    <x v="3"/>
    <s v="24, Main Street"/>
    <s v="Pune"/>
    <s v="Maharashtra"/>
    <x v="2"/>
    <x v="3"/>
    <s v="Courier"/>
    <x v="346"/>
    <n v="11772"/>
    <x v="1"/>
    <n v="4680"/>
  </r>
  <r>
    <n v="350"/>
    <s v="ORD0350"/>
    <s v="INV0350"/>
    <x v="4"/>
    <x v="0"/>
    <s v="Sunrise Ltd"/>
    <s v="GST22693"/>
    <x v="2"/>
    <s v="26, Main Street"/>
    <s v="Chennai"/>
    <s v="Tamil Nadu"/>
    <x v="0"/>
    <x v="3"/>
    <s v="Transport"/>
    <x v="347"/>
    <n v="8812"/>
    <x v="1"/>
    <n v="36005"/>
  </r>
  <r>
    <n v="351"/>
    <s v="ORD0351"/>
    <s v="INV0351"/>
    <x v="8"/>
    <x v="2"/>
    <s v="ABC Pvt Ltd"/>
    <s v="GST56219"/>
    <x v="2"/>
    <s v="80, Main Street"/>
    <s v="Pune"/>
    <s v="Maharashtra"/>
    <x v="2"/>
    <x v="1"/>
    <s v="Courier"/>
    <x v="348"/>
    <n v="42171"/>
    <x v="1"/>
    <n v="3453"/>
  </r>
  <r>
    <n v="352"/>
    <s v="ORD0352"/>
    <s v="INV0352"/>
    <x v="6"/>
    <x v="1"/>
    <s v="Tech Solutions"/>
    <s v="GST34763"/>
    <x v="3"/>
    <s v="1, Main Street"/>
    <s v="Mumbai"/>
    <s v="Maharashtra"/>
    <x v="2"/>
    <x v="3"/>
    <s v="Transport"/>
    <x v="349"/>
    <n v="1373"/>
    <x v="1"/>
    <n v="28500"/>
  </r>
  <r>
    <n v="353"/>
    <s v="ORD0353"/>
    <s v="INV0353"/>
    <x v="0"/>
    <x v="0"/>
    <s v="Global Traders"/>
    <s v="GST74766"/>
    <x v="0"/>
    <s v="97, Main Street"/>
    <s v="Bangalore"/>
    <s v="Karnataka"/>
    <x v="0"/>
    <x v="2"/>
    <s v="Courier"/>
    <x v="350"/>
    <n v="26217"/>
    <x v="1"/>
    <n v="6778"/>
  </r>
  <r>
    <n v="354"/>
    <s v="ORD0354"/>
    <s v="INV0354"/>
    <x v="4"/>
    <x v="0"/>
    <s v="Sunrise Ltd"/>
    <s v="GST11305"/>
    <x v="2"/>
    <s v="53, Main Street"/>
    <s v="Pune"/>
    <s v="Maharashtra"/>
    <x v="2"/>
    <x v="0"/>
    <s v="Courier"/>
    <x v="351"/>
    <n v="12266"/>
    <x v="1"/>
    <n v="9579"/>
  </r>
  <r>
    <n v="355"/>
    <s v="ORD0355"/>
    <s v="INV0355"/>
    <x v="8"/>
    <x v="2"/>
    <s v="XYZ Corp"/>
    <s v="GST31571"/>
    <x v="2"/>
    <s v="72, Main Street"/>
    <s v="Delhi"/>
    <s v="Delhi"/>
    <x v="1"/>
    <x v="2"/>
    <s v="Courier"/>
    <x v="352"/>
    <n v="22960"/>
    <x v="1"/>
    <n v="268"/>
  </r>
  <r>
    <n v="356"/>
    <s v="ORD0356"/>
    <s v="INV0356"/>
    <x v="0"/>
    <x v="0"/>
    <s v="Tech Solutions"/>
    <s v="GST97174"/>
    <x v="1"/>
    <s v="36, Main Street"/>
    <s v="Pune"/>
    <s v="Maharashtra"/>
    <x v="2"/>
    <x v="1"/>
    <s v="Transport"/>
    <x v="353"/>
    <n v="1858"/>
    <x v="1"/>
    <n v="25066"/>
  </r>
  <r>
    <n v="357"/>
    <s v="ORD0357"/>
    <s v="INV0357"/>
    <x v="2"/>
    <x v="1"/>
    <s v="ABC Pvt Ltd"/>
    <s v="GST66610"/>
    <x v="1"/>
    <s v="83, Main Street"/>
    <s v="Pune"/>
    <s v="Maharashtra"/>
    <x v="2"/>
    <x v="0"/>
    <s v="Transport"/>
    <x v="354"/>
    <n v="7048"/>
    <x v="1"/>
    <n v="19576"/>
  </r>
  <r>
    <n v="358"/>
    <s v="ORD0358"/>
    <s v="INV0358"/>
    <x v="0"/>
    <x v="0"/>
    <s v="Global Traders"/>
    <s v="GST68750"/>
    <x v="1"/>
    <s v="47, Main Street"/>
    <s v="Pune"/>
    <s v="Maharashtra"/>
    <x v="2"/>
    <x v="0"/>
    <s v="Courier"/>
    <x v="355"/>
    <n v="8809"/>
    <x v="1"/>
    <n v="12694"/>
  </r>
  <r>
    <n v="359"/>
    <s v="ORD0359"/>
    <s v="INV0359"/>
    <x v="4"/>
    <x v="0"/>
    <s v="XYZ Corp"/>
    <s v="GST70045"/>
    <x v="4"/>
    <s v="48, Main Street"/>
    <s v="Mumbai"/>
    <s v="Maharashtra"/>
    <x v="2"/>
    <x v="0"/>
    <s v="Transport"/>
    <x v="356"/>
    <n v="21243"/>
    <x v="1"/>
    <n v="14003"/>
  </r>
  <r>
    <n v="360"/>
    <s v="ORD0360"/>
    <s v="INV0360"/>
    <x v="4"/>
    <x v="0"/>
    <s v="XYZ Corp"/>
    <s v="GST93459"/>
    <x v="3"/>
    <s v="91, Main Street"/>
    <s v="Mumbai"/>
    <s v="Maharashtra"/>
    <x v="2"/>
    <x v="3"/>
    <s v="Transport"/>
    <x v="357"/>
    <n v="1470"/>
    <x v="1"/>
    <n v="21157"/>
  </r>
  <r>
    <n v="361"/>
    <s v="ORD0361"/>
    <s v="INV0361"/>
    <x v="1"/>
    <x v="0"/>
    <s v="Global Traders"/>
    <s v="GST98196"/>
    <x v="3"/>
    <s v="99, Main Street"/>
    <s v="Pune"/>
    <s v="Maharashtra"/>
    <x v="2"/>
    <x v="4"/>
    <s v="Hand Delivery"/>
    <x v="358"/>
    <n v="32705"/>
    <x v="0"/>
    <n v="0"/>
  </r>
  <r>
    <n v="362"/>
    <s v="ORD0362"/>
    <s v="INV0362"/>
    <x v="8"/>
    <x v="2"/>
    <s v="ABC Pvt Ltd"/>
    <s v="GST17420"/>
    <x v="4"/>
    <s v="34, Main Street"/>
    <s v="Delhi"/>
    <s v="Delhi"/>
    <x v="1"/>
    <x v="1"/>
    <s v="Courier"/>
    <x v="359"/>
    <n v="10714"/>
    <x v="1"/>
    <n v="127"/>
  </r>
  <r>
    <n v="363"/>
    <s v="ORD0363"/>
    <s v="INV0363"/>
    <x v="11"/>
    <x v="2"/>
    <s v="XYZ Corp"/>
    <s v="GST15923"/>
    <x v="3"/>
    <s v="30, Main Street"/>
    <s v="Delhi"/>
    <s v="Delhi"/>
    <x v="1"/>
    <x v="3"/>
    <s v="Courier"/>
    <x v="360"/>
    <n v="26172"/>
    <x v="1"/>
    <n v="668"/>
  </r>
  <r>
    <n v="364"/>
    <s v="ORD0364"/>
    <s v="INV0364"/>
    <x v="2"/>
    <x v="1"/>
    <s v="Sunrise Ltd"/>
    <s v="GST97578"/>
    <x v="4"/>
    <s v="49, Main Street"/>
    <s v="Bangalore"/>
    <s v="Karnataka"/>
    <x v="0"/>
    <x v="0"/>
    <s v="Courier"/>
    <x v="361"/>
    <n v="1364"/>
    <x v="1"/>
    <n v="24032"/>
  </r>
  <r>
    <n v="365"/>
    <s v="ORD0365"/>
    <s v="INV0365"/>
    <x v="3"/>
    <x v="2"/>
    <s v="ABC Pvt Ltd"/>
    <s v="GST20350"/>
    <x v="1"/>
    <s v="50, Main Street"/>
    <s v="Delhi"/>
    <s v="Delhi"/>
    <x v="1"/>
    <x v="2"/>
    <s v="Hand Delivery"/>
    <x v="362"/>
    <n v="1810"/>
    <x v="1"/>
    <n v="3819"/>
  </r>
  <r>
    <n v="366"/>
    <s v="ORD0366"/>
    <s v="INV0366"/>
    <x v="11"/>
    <x v="2"/>
    <s v="Sunrise Ltd"/>
    <s v="GST27948"/>
    <x v="0"/>
    <s v="16, Main Street"/>
    <s v="Delhi"/>
    <s v="Delhi"/>
    <x v="1"/>
    <x v="0"/>
    <s v="Courier"/>
    <x v="363"/>
    <n v="18676"/>
    <x v="1"/>
    <n v="11356"/>
  </r>
  <r>
    <n v="367"/>
    <s v="ORD0367"/>
    <s v="INV0367"/>
    <x v="9"/>
    <x v="3"/>
    <s v="Sunrise Ltd"/>
    <s v="GST40064"/>
    <x v="1"/>
    <s v="50, Main Street"/>
    <s v="Bangalore"/>
    <s v="Karnataka"/>
    <x v="0"/>
    <x v="4"/>
    <s v="Hand Delivery"/>
    <x v="364"/>
    <n v="6640"/>
    <x v="1"/>
    <n v="1863"/>
  </r>
  <r>
    <n v="368"/>
    <s v="ORD0368"/>
    <s v="INV0368"/>
    <x v="5"/>
    <x v="1"/>
    <s v="ABC Pvt Ltd"/>
    <s v="GST66997"/>
    <x v="0"/>
    <s v="94, Main Street"/>
    <s v="Mumbai"/>
    <s v="Maharashtra"/>
    <x v="2"/>
    <x v="4"/>
    <s v="Hand Delivery"/>
    <x v="365"/>
    <n v="2032"/>
    <x v="1"/>
    <n v="4876"/>
  </r>
  <r>
    <n v="369"/>
    <s v="ORD0369"/>
    <s v="INV0369"/>
    <x v="10"/>
    <x v="3"/>
    <s v="ABC Pvt Ltd"/>
    <s v="GST85624"/>
    <x v="4"/>
    <s v="47, Main Street"/>
    <s v="Delhi"/>
    <s v="Delhi"/>
    <x v="1"/>
    <x v="0"/>
    <s v="Courier"/>
    <x v="366"/>
    <n v="3771"/>
    <x v="1"/>
    <n v="9759"/>
  </r>
  <r>
    <n v="370"/>
    <s v="ORD0370"/>
    <s v="INV0370"/>
    <x v="1"/>
    <x v="0"/>
    <s v="Sunrise Ltd"/>
    <s v="GST50221"/>
    <x v="0"/>
    <s v="5, Main Street"/>
    <s v="Bangalore"/>
    <s v="Karnataka"/>
    <x v="0"/>
    <x v="3"/>
    <s v="Hand Delivery"/>
    <x v="367"/>
    <n v="10177"/>
    <x v="1"/>
    <n v="11448"/>
  </r>
  <r>
    <n v="371"/>
    <s v="ORD0371"/>
    <s v="INV0371"/>
    <x v="3"/>
    <x v="2"/>
    <s v="ABC Pvt Ltd"/>
    <s v="GST58777"/>
    <x v="4"/>
    <s v="26, Main Street"/>
    <s v="Chennai"/>
    <s v="Tamil Nadu"/>
    <x v="0"/>
    <x v="3"/>
    <s v="Hand Delivery"/>
    <x v="368"/>
    <n v="11425"/>
    <x v="1"/>
    <n v="262"/>
  </r>
  <r>
    <n v="372"/>
    <s v="ORD0372"/>
    <s v="INV0372"/>
    <x v="10"/>
    <x v="3"/>
    <s v="XYZ Corp"/>
    <s v="GST32570"/>
    <x v="2"/>
    <s v="94, Main Street"/>
    <s v="Pune"/>
    <s v="Maharashtra"/>
    <x v="2"/>
    <x v="1"/>
    <s v="Transport"/>
    <x v="369"/>
    <n v="16622"/>
    <x v="1"/>
    <n v="2715"/>
  </r>
  <r>
    <n v="373"/>
    <s v="ORD0373"/>
    <s v="INV0373"/>
    <x v="6"/>
    <x v="1"/>
    <s v="ABC Pvt Ltd"/>
    <s v="GST60409"/>
    <x v="0"/>
    <s v="40, Main Street"/>
    <s v="Chennai"/>
    <s v="Tamil Nadu"/>
    <x v="0"/>
    <x v="2"/>
    <s v="Hand Delivery"/>
    <x v="370"/>
    <n v="8495"/>
    <x v="1"/>
    <n v="30318"/>
  </r>
  <r>
    <n v="374"/>
    <s v="ORD0374"/>
    <s v="INV0374"/>
    <x v="3"/>
    <x v="2"/>
    <s v="Global Traders"/>
    <s v="GST95578"/>
    <x v="4"/>
    <s v="68, Main Street"/>
    <s v="Pune"/>
    <s v="Maharashtra"/>
    <x v="2"/>
    <x v="1"/>
    <s v="Hand Delivery"/>
    <x v="371"/>
    <n v="24204"/>
    <x v="1"/>
    <n v="20637"/>
  </r>
  <r>
    <n v="375"/>
    <s v="ORD0375"/>
    <s v="INV0375"/>
    <x v="4"/>
    <x v="0"/>
    <s v="Sunrise Ltd"/>
    <s v="GST83449"/>
    <x v="4"/>
    <s v="25, Main Street"/>
    <s v="Delhi"/>
    <s v="Delhi"/>
    <x v="1"/>
    <x v="1"/>
    <s v="Courier"/>
    <x v="372"/>
    <n v="35447"/>
    <x v="1"/>
    <n v="11758"/>
  </r>
  <r>
    <n v="376"/>
    <s v="ORD0376"/>
    <s v="INV0376"/>
    <x v="9"/>
    <x v="3"/>
    <s v="Tech Solutions"/>
    <s v="GST92924"/>
    <x v="2"/>
    <s v="33, Main Street"/>
    <s v="Bangalore"/>
    <s v="Karnataka"/>
    <x v="0"/>
    <x v="3"/>
    <s v="Courier"/>
    <x v="373"/>
    <n v="30206"/>
    <x v="1"/>
    <n v="10064"/>
  </r>
  <r>
    <n v="377"/>
    <s v="ORD0377"/>
    <s v="INV0377"/>
    <x v="7"/>
    <x v="3"/>
    <s v="Tech Solutions"/>
    <s v="GST16140"/>
    <x v="3"/>
    <s v="51, Main Street"/>
    <s v="Chennai"/>
    <s v="Tamil Nadu"/>
    <x v="0"/>
    <x v="4"/>
    <s v="Hand Delivery"/>
    <x v="374"/>
    <n v="8543"/>
    <x v="1"/>
    <n v="18844"/>
  </r>
  <r>
    <n v="378"/>
    <s v="ORD0378"/>
    <s v="INV0378"/>
    <x v="7"/>
    <x v="3"/>
    <s v="ABC Pvt Ltd"/>
    <s v="GST90438"/>
    <x v="3"/>
    <s v="64, Main Street"/>
    <s v="Pune"/>
    <s v="Maharashtra"/>
    <x v="2"/>
    <x v="2"/>
    <s v="Courier"/>
    <x v="375"/>
    <n v="28224"/>
    <x v="0"/>
    <n v="0"/>
  </r>
  <r>
    <n v="379"/>
    <s v="ORD0379"/>
    <s v="INV0379"/>
    <x v="8"/>
    <x v="2"/>
    <s v="Tech Solutions"/>
    <s v="GST17498"/>
    <x v="0"/>
    <s v="6, Main Street"/>
    <s v="Bangalore"/>
    <s v="Karnataka"/>
    <x v="0"/>
    <x v="0"/>
    <s v="Hand Delivery"/>
    <x v="376"/>
    <n v="13459"/>
    <x v="1"/>
    <n v="36130"/>
  </r>
  <r>
    <n v="380"/>
    <s v="ORD0380"/>
    <s v="INV0380"/>
    <x v="6"/>
    <x v="1"/>
    <s v="Tech Solutions"/>
    <s v="GST14658"/>
    <x v="3"/>
    <s v="72, Main Street"/>
    <s v="Delhi"/>
    <s v="Delhi"/>
    <x v="1"/>
    <x v="3"/>
    <s v="Courier"/>
    <x v="377"/>
    <n v="7431"/>
    <x v="1"/>
    <n v="331"/>
  </r>
  <r>
    <n v="381"/>
    <s v="ORD0381"/>
    <s v="INV0381"/>
    <x v="7"/>
    <x v="3"/>
    <s v="Tech Solutions"/>
    <s v="GST10623"/>
    <x v="2"/>
    <s v="63, Main Street"/>
    <s v="Bangalore"/>
    <s v="Karnataka"/>
    <x v="0"/>
    <x v="2"/>
    <s v="Transport"/>
    <x v="378"/>
    <n v="5060"/>
    <x v="1"/>
    <n v="5104"/>
  </r>
  <r>
    <n v="382"/>
    <s v="ORD0382"/>
    <s v="INV0382"/>
    <x v="4"/>
    <x v="0"/>
    <s v="Tech Solutions"/>
    <s v="GST84430"/>
    <x v="1"/>
    <s v="83, Main Street"/>
    <s v="Pune"/>
    <s v="Maharashtra"/>
    <x v="2"/>
    <x v="1"/>
    <s v="Hand Delivery"/>
    <x v="379"/>
    <n v="14374"/>
    <x v="1"/>
    <n v="19709"/>
  </r>
  <r>
    <n v="383"/>
    <s v="ORD0383"/>
    <s v="INV0383"/>
    <x v="8"/>
    <x v="2"/>
    <s v="Global Traders"/>
    <s v="GST24256"/>
    <x v="3"/>
    <s v="3, Main Street"/>
    <s v="Chennai"/>
    <s v="Tamil Nadu"/>
    <x v="0"/>
    <x v="4"/>
    <s v="Hand Delivery"/>
    <x v="380"/>
    <n v="1916"/>
    <x v="1"/>
    <n v="3566"/>
  </r>
  <r>
    <n v="384"/>
    <s v="ORD0384"/>
    <s v="INV0384"/>
    <x v="0"/>
    <x v="0"/>
    <s v="Global Traders"/>
    <s v="GST88554"/>
    <x v="3"/>
    <s v="2, Main Street"/>
    <s v="Chennai"/>
    <s v="Tamil Nadu"/>
    <x v="0"/>
    <x v="2"/>
    <s v="Hand Delivery"/>
    <x v="381"/>
    <n v="6603"/>
    <x v="1"/>
    <n v="27428"/>
  </r>
  <r>
    <n v="385"/>
    <s v="ORD0385"/>
    <s v="INV0385"/>
    <x v="3"/>
    <x v="2"/>
    <s v="Tech Solutions"/>
    <s v="GST49790"/>
    <x v="1"/>
    <s v="83, Main Street"/>
    <s v="Chennai"/>
    <s v="Tamil Nadu"/>
    <x v="0"/>
    <x v="3"/>
    <s v="Courier"/>
    <x v="382"/>
    <n v="13764"/>
    <x v="1"/>
    <n v="13509"/>
  </r>
  <r>
    <n v="386"/>
    <s v="ORD0386"/>
    <s v="INV0386"/>
    <x v="10"/>
    <x v="3"/>
    <s v="Sunrise Ltd"/>
    <s v="GST47260"/>
    <x v="0"/>
    <s v="58, Main Street"/>
    <s v="Mumbai"/>
    <s v="Maharashtra"/>
    <x v="2"/>
    <x v="0"/>
    <s v="Transport"/>
    <x v="383"/>
    <n v="9993"/>
    <x v="1"/>
    <n v="12422"/>
  </r>
  <r>
    <n v="387"/>
    <s v="ORD0387"/>
    <s v="INV0387"/>
    <x v="3"/>
    <x v="2"/>
    <s v="ABC Pvt Ltd"/>
    <s v="GST27499"/>
    <x v="0"/>
    <s v="69, Main Street"/>
    <s v="Pune"/>
    <s v="Maharashtra"/>
    <x v="2"/>
    <x v="2"/>
    <s v="Courier"/>
    <x v="384"/>
    <n v="13842"/>
    <x v="1"/>
    <n v="30560"/>
  </r>
  <r>
    <n v="388"/>
    <s v="ORD0388"/>
    <s v="INV0388"/>
    <x v="3"/>
    <x v="2"/>
    <s v="XYZ Corp"/>
    <s v="GST45465"/>
    <x v="0"/>
    <s v="67, Main Street"/>
    <s v="Pune"/>
    <s v="Maharashtra"/>
    <x v="2"/>
    <x v="1"/>
    <s v="Transport"/>
    <x v="385"/>
    <n v="6596"/>
    <x v="1"/>
    <n v="40925"/>
  </r>
  <r>
    <n v="389"/>
    <s v="ORD0389"/>
    <s v="INV0389"/>
    <x v="11"/>
    <x v="2"/>
    <s v="Sunrise Ltd"/>
    <s v="GST71478"/>
    <x v="2"/>
    <s v="73, Main Street"/>
    <s v="Delhi"/>
    <s v="Delhi"/>
    <x v="1"/>
    <x v="2"/>
    <s v="Courier"/>
    <x v="386"/>
    <n v="7002"/>
    <x v="1"/>
    <n v="40578"/>
  </r>
  <r>
    <n v="390"/>
    <s v="ORD0390"/>
    <s v="INV0390"/>
    <x v="4"/>
    <x v="0"/>
    <s v="Tech Solutions"/>
    <s v="GST20163"/>
    <x v="1"/>
    <s v="70, Main Street"/>
    <s v="Pune"/>
    <s v="Maharashtra"/>
    <x v="2"/>
    <x v="4"/>
    <s v="Transport"/>
    <x v="387"/>
    <n v="5255"/>
    <x v="1"/>
    <n v="3395"/>
  </r>
  <r>
    <n v="391"/>
    <s v="ORD0391"/>
    <s v="INV0391"/>
    <x v="0"/>
    <x v="0"/>
    <s v="ABC Pvt Ltd"/>
    <s v="GST90620"/>
    <x v="2"/>
    <s v="19, Main Street"/>
    <s v="Chennai"/>
    <s v="Tamil Nadu"/>
    <x v="0"/>
    <x v="0"/>
    <s v="Transport"/>
    <x v="388"/>
    <n v="13477"/>
    <x v="1"/>
    <n v="35755"/>
  </r>
  <r>
    <n v="392"/>
    <s v="ORD0392"/>
    <s v="INV0392"/>
    <x v="1"/>
    <x v="0"/>
    <s v="ABC Pvt Ltd"/>
    <s v="GST22410"/>
    <x v="0"/>
    <s v="53, Main Street"/>
    <s v="Delhi"/>
    <s v="Delhi"/>
    <x v="1"/>
    <x v="0"/>
    <s v="Transport"/>
    <x v="389"/>
    <n v="5503"/>
    <x v="1"/>
    <n v="19181"/>
  </r>
  <r>
    <n v="393"/>
    <s v="ORD0393"/>
    <s v="INV0393"/>
    <x v="7"/>
    <x v="3"/>
    <s v="Sunrise Ltd"/>
    <s v="GST33032"/>
    <x v="2"/>
    <s v="77, Main Street"/>
    <s v="Mumbai"/>
    <s v="Maharashtra"/>
    <x v="2"/>
    <x v="4"/>
    <s v="Courier"/>
    <x v="390"/>
    <n v="41738"/>
    <x v="1"/>
    <n v="7049"/>
  </r>
  <r>
    <n v="394"/>
    <s v="ORD0394"/>
    <s v="INV0394"/>
    <x v="5"/>
    <x v="1"/>
    <s v="ABC Pvt Ltd"/>
    <s v="GST11300"/>
    <x v="3"/>
    <s v="47, Main Street"/>
    <s v="Bangalore"/>
    <s v="Karnataka"/>
    <x v="0"/>
    <x v="2"/>
    <s v="Hand Delivery"/>
    <x v="391"/>
    <n v="19689"/>
    <x v="1"/>
    <n v="4956"/>
  </r>
  <r>
    <n v="395"/>
    <s v="ORD0395"/>
    <s v="INV0395"/>
    <x v="6"/>
    <x v="1"/>
    <s v="Global Traders"/>
    <s v="GST29342"/>
    <x v="2"/>
    <s v="34, Main Street"/>
    <s v="Pune"/>
    <s v="Maharashtra"/>
    <x v="2"/>
    <x v="0"/>
    <s v="Hand Delivery"/>
    <x v="392"/>
    <n v="11298"/>
    <x v="1"/>
    <n v="35012"/>
  </r>
  <r>
    <n v="396"/>
    <s v="ORD0396"/>
    <s v="INV0396"/>
    <x v="5"/>
    <x v="1"/>
    <s v="ABC Pvt Ltd"/>
    <s v="GST13488"/>
    <x v="2"/>
    <s v="62, Main Street"/>
    <s v="Chennai"/>
    <s v="Tamil Nadu"/>
    <x v="0"/>
    <x v="2"/>
    <s v="Hand Delivery"/>
    <x v="393"/>
    <n v="424"/>
    <x v="1"/>
    <n v="21450"/>
  </r>
  <r>
    <n v="397"/>
    <s v="ORD0397"/>
    <s v="INV0397"/>
    <x v="1"/>
    <x v="0"/>
    <s v="ABC Pvt Ltd"/>
    <s v="GST16713"/>
    <x v="3"/>
    <s v="85, Main Street"/>
    <s v="Delhi"/>
    <s v="Delhi"/>
    <x v="1"/>
    <x v="0"/>
    <s v="Courier"/>
    <x v="394"/>
    <n v="7157"/>
    <x v="1"/>
    <n v="3651"/>
  </r>
  <r>
    <n v="398"/>
    <s v="ORD0398"/>
    <s v="INV0398"/>
    <x v="5"/>
    <x v="1"/>
    <s v="Tech Solutions"/>
    <s v="GST67091"/>
    <x v="4"/>
    <s v="92, Main Street"/>
    <s v="Delhi"/>
    <s v="Delhi"/>
    <x v="1"/>
    <x v="1"/>
    <s v="Transport"/>
    <x v="395"/>
    <n v="38580"/>
    <x v="1"/>
    <n v="11358"/>
  </r>
  <r>
    <n v="399"/>
    <s v="ORD0399"/>
    <s v="INV0399"/>
    <x v="10"/>
    <x v="3"/>
    <s v="Sunrise Ltd"/>
    <s v="GST98118"/>
    <x v="4"/>
    <s v="44, Main Street"/>
    <s v="Mumbai"/>
    <s v="Maharashtra"/>
    <x v="2"/>
    <x v="0"/>
    <s v="Transport"/>
    <x v="396"/>
    <n v="2859"/>
    <x v="1"/>
    <n v="37450"/>
  </r>
  <r>
    <n v="400"/>
    <s v="ORD0400"/>
    <s v="INV0400"/>
    <x v="6"/>
    <x v="1"/>
    <s v="XYZ Corp"/>
    <s v="GST26853"/>
    <x v="0"/>
    <s v="16, Main Street"/>
    <s v="Pune"/>
    <s v="Maharashtra"/>
    <x v="2"/>
    <x v="0"/>
    <s v="Transport"/>
    <x v="397"/>
    <n v="24163"/>
    <x v="1"/>
    <n v="4892"/>
  </r>
  <r>
    <n v="401"/>
    <s v="ORD0401"/>
    <s v="INV0401"/>
    <x v="5"/>
    <x v="1"/>
    <s v="XYZ Corp"/>
    <s v="GST10902"/>
    <x v="1"/>
    <s v="2, Main Street"/>
    <s v="Pune"/>
    <s v="Maharashtra"/>
    <x v="2"/>
    <x v="0"/>
    <s v="Hand Delivery"/>
    <x v="398"/>
    <n v="14898"/>
    <x v="1"/>
    <n v="13064"/>
  </r>
  <r>
    <n v="402"/>
    <s v="ORD0402"/>
    <s v="INV0402"/>
    <x v="6"/>
    <x v="1"/>
    <s v="Sunrise Ltd"/>
    <s v="GST60624"/>
    <x v="3"/>
    <s v="39, Main Street"/>
    <s v="Mumbai"/>
    <s v="Maharashtra"/>
    <x v="2"/>
    <x v="3"/>
    <s v="Transport"/>
    <x v="399"/>
    <n v="13042"/>
    <x v="1"/>
    <n v="6641"/>
  </r>
  <r>
    <n v="403"/>
    <s v="ORD0403"/>
    <s v="INV0403"/>
    <x v="0"/>
    <x v="0"/>
    <s v="ABC Pvt Ltd"/>
    <s v="GST71530"/>
    <x v="3"/>
    <s v="36, Main Street"/>
    <s v="Pune"/>
    <s v="Maharashtra"/>
    <x v="2"/>
    <x v="1"/>
    <s v="Hand Delivery"/>
    <x v="400"/>
    <n v="4408"/>
    <x v="1"/>
    <n v="4771"/>
  </r>
  <r>
    <n v="404"/>
    <s v="ORD0404"/>
    <s v="INV0404"/>
    <x v="4"/>
    <x v="0"/>
    <s v="Global Traders"/>
    <s v="GST36845"/>
    <x v="1"/>
    <s v="59, Main Street"/>
    <s v="Chennai"/>
    <s v="Tamil Nadu"/>
    <x v="0"/>
    <x v="2"/>
    <s v="Hand Delivery"/>
    <x v="401"/>
    <n v="16509"/>
    <x v="0"/>
    <n v="0"/>
  </r>
  <r>
    <n v="405"/>
    <s v="ORD0405"/>
    <s v="INV0405"/>
    <x v="1"/>
    <x v="0"/>
    <s v="ABC Pvt Ltd"/>
    <s v="GST29540"/>
    <x v="3"/>
    <s v="17, Main Street"/>
    <s v="Bangalore"/>
    <s v="Karnataka"/>
    <x v="0"/>
    <x v="1"/>
    <s v="Hand Delivery"/>
    <x v="402"/>
    <n v="29964"/>
    <x v="1"/>
    <n v="9933"/>
  </r>
  <r>
    <n v="406"/>
    <s v="ORD0406"/>
    <s v="INV0406"/>
    <x v="0"/>
    <x v="0"/>
    <s v="XYZ Corp"/>
    <s v="GST40189"/>
    <x v="0"/>
    <s v="69, Main Street"/>
    <s v="Mumbai"/>
    <s v="Maharashtra"/>
    <x v="2"/>
    <x v="2"/>
    <s v="Hand Delivery"/>
    <x v="403"/>
    <n v="28052"/>
    <x v="1"/>
    <n v="20420"/>
  </r>
  <r>
    <n v="407"/>
    <s v="ORD0407"/>
    <s v="INV0407"/>
    <x v="7"/>
    <x v="3"/>
    <s v="XYZ Corp"/>
    <s v="GST41871"/>
    <x v="1"/>
    <s v="43, Main Street"/>
    <s v="Chennai"/>
    <s v="Tamil Nadu"/>
    <x v="0"/>
    <x v="4"/>
    <s v="Hand Delivery"/>
    <x v="404"/>
    <n v="6318"/>
    <x v="1"/>
    <n v="8908"/>
  </r>
  <r>
    <n v="408"/>
    <s v="ORD0408"/>
    <s v="INV0408"/>
    <x v="10"/>
    <x v="3"/>
    <s v="Tech Solutions"/>
    <s v="GST60668"/>
    <x v="0"/>
    <s v="25, Main Street"/>
    <s v="Pune"/>
    <s v="Maharashtra"/>
    <x v="2"/>
    <x v="0"/>
    <s v="Hand Delivery"/>
    <x v="405"/>
    <n v="1506"/>
    <x v="1"/>
    <n v="13793"/>
  </r>
  <r>
    <n v="409"/>
    <s v="ORD0409"/>
    <s v="INV0409"/>
    <x v="6"/>
    <x v="1"/>
    <s v="XYZ Corp"/>
    <s v="GST89757"/>
    <x v="1"/>
    <s v="68, Main Street"/>
    <s v="Bangalore"/>
    <s v="Karnataka"/>
    <x v="0"/>
    <x v="1"/>
    <s v="Courier"/>
    <x v="406"/>
    <n v="32429"/>
    <x v="1"/>
    <n v="671"/>
  </r>
  <r>
    <n v="410"/>
    <s v="ORD0410"/>
    <s v="INV0410"/>
    <x v="4"/>
    <x v="0"/>
    <s v="Tech Solutions"/>
    <s v="GST52463"/>
    <x v="2"/>
    <s v="72, Main Street"/>
    <s v="Delhi"/>
    <s v="Delhi"/>
    <x v="1"/>
    <x v="1"/>
    <s v="Transport"/>
    <x v="407"/>
    <n v="8750"/>
    <x v="1"/>
    <n v="18685"/>
  </r>
  <r>
    <n v="411"/>
    <s v="ORD0411"/>
    <s v="INV0411"/>
    <x v="5"/>
    <x v="1"/>
    <s v="Sunrise Ltd"/>
    <s v="GST83143"/>
    <x v="2"/>
    <s v="36, Main Street"/>
    <s v="Chennai"/>
    <s v="Tamil Nadu"/>
    <x v="0"/>
    <x v="3"/>
    <s v="Hand Delivery"/>
    <x v="408"/>
    <n v="5885"/>
    <x v="1"/>
    <n v="1512"/>
  </r>
  <r>
    <n v="412"/>
    <s v="ORD0412"/>
    <s v="INV0412"/>
    <x v="11"/>
    <x v="2"/>
    <s v="ABC Pvt Ltd"/>
    <s v="GST26266"/>
    <x v="4"/>
    <s v="59, Main Street"/>
    <s v="Chennai"/>
    <s v="Tamil Nadu"/>
    <x v="0"/>
    <x v="1"/>
    <s v="Courier"/>
    <x v="409"/>
    <n v="8699"/>
    <x v="1"/>
    <n v="36408"/>
  </r>
  <r>
    <n v="413"/>
    <s v="ORD0413"/>
    <s v="INV0413"/>
    <x v="6"/>
    <x v="1"/>
    <s v="XYZ Corp"/>
    <s v="GST92980"/>
    <x v="1"/>
    <s v="6, Main Street"/>
    <s v="Delhi"/>
    <s v="Delhi"/>
    <x v="1"/>
    <x v="2"/>
    <s v="Transport"/>
    <x v="410"/>
    <n v="10649"/>
    <x v="1"/>
    <n v="5412"/>
  </r>
  <r>
    <n v="414"/>
    <s v="ORD0414"/>
    <s v="INV0414"/>
    <x v="0"/>
    <x v="0"/>
    <s v="ABC Pvt Ltd"/>
    <s v="GST57928"/>
    <x v="0"/>
    <s v="21, Main Street"/>
    <s v="Chennai"/>
    <s v="Tamil Nadu"/>
    <x v="0"/>
    <x v="3"/>
    <s v="Hand Delivery"/>
    <x v="411"/>
    <n v="31210"/>
    <x v="1"/>
    <n v="6212"/>
  </r>
  <r>
    <n v="415"/>
    <s v="ORD0415"/>
    <s v="INV0415"/>
    <x v="11"/>
    <x v="2"/>
    <s v="ABC Pvt Ltd"/>
    <s v="GST50636"/>
    <x v="3"/>
    <s v="42, Main Street"/>
    <s v="Pune"/>
    <s v="Maharashtra"/>
    <x v="2"/>
    <x v="2"/>
    <s v="Courier"/>
    <x v="412"/>
    <n v="28704"/>
    <x v="1"/>
    <n v="6649"/>
  </r>
  <r>
    <n v="416"/>
    <s v="ORD0416"/>
    <s v="INV0416"/>
    <x v="7"/>
    <x v="3"/>
    <s v="Sunrise Ltd"/>
    <s v="GST58579"/>
    <x v="0"/>
    <s v="78, Main Street"/>
    <s v="Delhi"/>
    <s v="Delhi"/>
    <x v="1"/>
    <x v="4"/>
    <s v="Hand Delivery"/>
    <x v="413"/>
    <n v="20295"/>
    <x v="1"/>
    <n v="18744"/>
  </r>
  <r>
    <n v="417"/>
    <s v="ORD0417"/>
    <s v="INV0417"/>
    <x v="6"/>
    <x v="1"/>
    <s v="Sunrise Ltd"/>
    <s v="GST95426"/>
    <x v="1"/>
    <s v="19, Main Street"/>
    <s v="Bangalore"/>
    <s v="Karnataka"/>
    <x v="0"/>
    <x v="2"/>
    <s v="Transport"/>
    <x v="414"/>
    <n v="6258"/>
    <x v="1"/>
    <n v="13507"/>
  </r>
  <r>
    <n v="418"/>
    <s v="ORD0418"/>
    <s v="INV0418"/>
    <x v="4"/>
    <x v="0"/>
    <s v="XYZ Corp"/>
    <s v="GST32017"/>
    <x v="0"/>
    <s v="1, Main Street"/>
    <s v="Pune"/>
    <s v="Maharashtra"/>
    <x v="2"/>
    <x v="4"/>
    <s v="Transport"/>
    <x v="415"/>
    <n v="22855"/>
    <x v="1"/>
    <n v="862"/>
  </r>
  <r>
    <n v="419"/>
    <s v="ORD0419"/>
    <s v="INV0419"/>
    <x v="11"/>
    <x v="2"/>
    <s v="XYZ Corp"/>
    <s v="GST43318"/>
    <x v="2"/>
    <s v="27, Main Street"/>
    <s v="Pune"/>
    <s v="Maharashtra"/>
    <x v="2"/>
    <x v="2"/>
    <s v="Transport"/>
    <x v="416"/>
    <n v="3472"/>
    <x v="1"/>
    <n v="2943"/>
  </r>
  <r>
    <n v="420"/>
    <s v="ORD0420"/>
    <s v="INV0420"/>
    <x v="4"/>
    <x v="0"/>
    <s v="ABC Pvt Ltd"/>
    <s v="GST61433"/>
    <x v="0"/>
    <s v="43, Main Street"/>
    <s v="Mumbai"/>
    <s v="Maharashtra"/>
    <x v="2"/>
    <x v="0"/>
    <s v="Courier"/>
    <x v="417"/>
    <n v="14094"/>
    <x v="0"/>
    <n v="0"/>
  </r>
  <r>
    <n v="421"/>
    <s v="ORD0421"/>
    <s v="INV0421"/>
    <x v="4"/>
    <x v="0"/>
    <s v="Sunrise Ltd"/>
    <s v="GST41478"/>
    <x v="2"/>
    <s v="35, Main Street"/>
    <s v="Mumbai"/>
    <s v="Maharashtra"/>
    <x v="2"/>
    <x v="2"/>
    <s v="Transport"/>
    <x v="418"/>
    <n v="2259"/>
    <x v="1"/>
    <n v="28876"/>
  </r>
  <r>
    <n v="422"/>
    <s v="ORD0422"/>
    <s v="INV0422"/>
    <x v="8"/>
    <x v="2"/>
    <s v="Sunrise Ltd"/>
    <s v="GST85273"/>
    <x v="4"/>
    <s v="90, Main Street"/>
    <s v="Mumbai"/>
    <s v="Maharashtra"/>
    <x v="2"/>
    <x v="3"/>
    <s v="Transport"/>
    <x v="419"/>
    <n v="7370"/>
    <x v="1"/>
    <n v="29585"/>
  </r>
  <r>
    <n v="423"/>
    <s v="ORD0423"/>
    <s v="INV0423"/>
    <x v="11"/>
    <x v="2"/>
    <s v="Tech Solutions"/>
    <s v="GST50823"/>
    <x v="4"/>
    <s v="24, Main Street"/>
    <s v="Pune"/>
    <s v="Maharashtra"/>
    <x v="2"/>
    <x v="0"/>
    <s v="Transport"/>
    <x v="420"/>
    <n v="15729"/>
    <x v="1"/>
    <n v="22192"/>
  </r>
  <r>
    <n v="424"/>
    <s v="ORD0424"/>
    <s v="INV0424"/>
    <x v="9"/>
    <x v="3"/>
    <s v="XYZ Corp"/>
    <s v="GST74132"/>
    <x v="4"/>
    <s v="51, Main Street"/>
    <s v="Bangalore"/>
    <s v="Karnataka"/>
    <x v="0"/>
    <x v="4"/>
    <s v="Hand Delivery"/>
    <x v="421"/>
    <n v="20093"/>
    <x v="1"/>
    <n v="3880"/>
  </r>
  <r>
    <n v="425"/>
    <s v="ORD0425"/>
    <s v="INV0425"/>
    <x v="1"/>
    <x v="0"/>
    <s v="Sunrise Ltd"/>
    <s v="GST40989"/>
    <x v="0"/>
    <s v="28, Main Street"/>
    <s v="Pune"/>
    <s v="Maharashtra"/>
    <x v="2"/>
    <x v="3"/>
    <s v="Hand Delivery"/>
    <x v="422"/>
    <n v="24678"/>
    <x v="1"/>
    <n v="768"/>
  </r>
  <r>
    <n v="426"/>
    <s v="ORD0426"/>
    <s v="INV0426"/>
    <x v="11"/>
    <x v="2"/>
    <s v="Tech Solutions"/>
    <s v="GST71867"/>
    <x v="2"/>
    <s v="81, Main Street"/>
    <s v="Pune"/>
    <s v="Maharashtra"/>
    <x v="2"/>
    <x v="2"/>
    <s v="Courier"/>
    <x v="423"/>
    <n v="32357"/>
    <x v="1"/>
    <n v="2588"/>
  </r>
  <r>
    <n v="427"/>
    <s v="ORD0427"/>
    <s v="INV0427"/>
    <x v="11"/>
    <x v="2"/>
    <s v="ABC Pvt Ltd"/>
    <s v="GST59463"/>
    <x v="2"/>
    <s v="22, Main Street"/>
    <s v="Chennai"/>
    <s v="Tamil Nadu"/>
    <x v="0"/>
    <x v="3"/>
    <s v="Courier"/>
    <x v="424"/>
    <n v="9782"/>
    <x v="1"/>
    <n v="11438"/>
  </r>
  <r>
    <n v="428"/>
    <s v="ORD0428"/>
    <s v="INV0428"/>
    <x v="5"/>
    <x v="1"/>
    <s v="Sunrise Ltd"/>
    <s v="GST51250"/>
    <x v="1"/>
    <s v="9, Main Street"/>
    <s v="Pune"/>
    <s v="Maharashtra"/>
    <x v="2"/>
    <x v="1"/>
    <s v="Transport"/>
    <x v="425"/>
    <n v="17696"/>
    <x v="1"/>
    <n v="4684"/>
  </r>
  <r>
    <n v="429"/>
    <s v="ORD0429"/>
    <s v="INV0429"/>
    <x v="10"/>
    <x v="3"/>
    <s v="ABC Pvt Ltd"/>
    <s v="GST38680"/>
    <x v="1"/>
    <s v="94, Main Street"/>
    <s v="Bangalore"/>
    <s v="Karnataka"/>
    <x v="0"/>
    <x v="3"/>
    <s v="Hand Delivery"/>
    <x v="426"/>
    <n v="17490"/>
    <x v="1"/>
    <n v="9241"/>
  </r>
  <r>
    <n v="430"/>
    <s v="ORD0430"/>
    <s v="INV0430"/>
    <x v="8"/>
    <x v="2"/>
    <s v="Sunrise Ltd"/>
    <s v="GST91824"/>
    <x v="3"/>
    <s v="11, Main Street"/>
    <s v="Chennai"/>
    <s v="Tamil Nadu"/>
    <x v="0"/>
    <x v="1"/>
    <s v="Transport"/>
    <x v="427"/>
    <n v="19518"/>
    <x v="1"/>
    <n v="12590"/>
  </r>
  <r>
    <n v="431"/>
    <s v="ORD0431"/>
    <s v="INV0431"/>
    <x v="10"/>
    <x v="3"/>
    <s v="Global Traders"/>
    <s v="GST96227"/>
    <x v="2"/>
    <s v="7, Main Street"/>
    <s v="Pune"/>
    <s v="Maharashtra"/>
    <x v="2"/>
    <x v="2"/>
    <s v="Transport"/>
    <x v="428"/>
    <n v="22921"/>
    <x v="1"/>
    <n v="717"/>
  </r>
  <r>
    <n v="432"/>
    <s v="ORD0432"/>
    <s v="INV0432"/>
    <x v="4"/>
    <x v="0"/>
    <s v="ABC Pvt Ltd"/>
    <s v="GST49287"/>
    <x v="1"/>
    <s v="66, Main Street"/>
    <s v="Bangalore"/>
    <s v="Karnataka"/>
    <x v="0"/>
    <x v="4"/>
    <s v="Hand Delivery"/>
    <x v="429"/>
    <n v="7001"/>
    <x v="1"/>
    <n v="8529"/>
  </r>
  <r>
    <n v="433"/>
    <s v="ORD0433"/>
    <s v="INV0433"/>
    <x v="7"/>
    <x v="3"/>
    <s v="ABC Pvt Ltd"/>
    <s v="GST74932"/>
    <x v="1"/>
    <s v="63, Main Street"/>
    <s v="Mumbai"/>
    <s v="Maharashtra"/>
    <x v="2"/>
    <x v="3"/>
    <s v="Hand Delivery"/>
    <x v="430"/>
    <n v="18169"/>
    <x v="0"/>
    <n v="0"/>
  </r>
  <r>
    <n v="434"/>
    <s v="ORD0434"/>
    <s v="INV0434"/>
    <x v="5"/>
    <x v="1"/>
    <s v="Tech Solutions"/>
    <s v="GST60588"/>
    <x v="2"/>
    <s v="45, Main Street"/>
    <s v="Chennai"/>
    <s v="Tamil Nadu"/>
    <x v="0"/>
    <x v="2"/>
    <s v="Hand Delivery"/>
    <x v="431"/>
    <n v="20563"/>
    <x v="1"/>
    <n v="22144"/>
  </r>
  <r>
    <n v="435"/>
    <s v="ORD0435"/>
    <s v="INV0435"/>
    <x v="11"/>
    <x v="2"/>
    <s v="Tech Solutions"/>
    <s v="GST58467"/>
    <x v="0"/>
    <s v="53, Main Street"/>
    <s v="Chennai"/>
    <s v="Tamil Nadu"/>
    <x v="0"/>
    <x v="2"/>
    <s v="Transport"/>
    <x v="432"/>
    <n v="9777"/>
    <x v="1"/>
    <n v="18125"/>
  </r>
  <r>
    <n v="436"/>
    <s v="ORD0436"/>
    <s v="INV0436"/>
    <x v="6"/>
    <x v="1"/>
    <s v="Tech Solutions"/>
    <s v="GST83085"/>
    <x v="3"/>
    <s v="33, Main Street"/>
    <s v="Pune"/>
    <s v="Maharashtra"/>
    <x v="2"/>
    <x v="4"/>
    <s v="Hand Delivery"/>
    <x v="433"/>
    <n v="11100"/>
    <x v="1"/>
    <n v="328"/>
  </r>
  <r>
    <n v="437"/>
    <s v="ORD0437"/>
    <s v="INV0437"/>
    <x v="9"/>
    <x v="3"/>
    <s v="Sunrise Ltd"/>
    <s v="GST70811"/>
    <x v="2"/>
    <s v="49, Main Street"/>
    <s v="Bangalore"/>
    <s v="Karnataka"/>
    <x v="0"/>
    <x v="2"/>
    <s v="Transport"/>
    <x v="434"/>
    <n v="7961"/>
    <x v="1"/>
    <n v="6028"/>
  </r>
  <r>
    <n v="438"/>
    <s v="ORD0438"/>
    <s v="INV0438"/>
    <x v="4"/>
    <x v="0"/>
    <s v="Global Traders"/>
    <s v="GST12871"/>
    <x v="2"/>
    <s v="40, Main Street"/>
    <s v="Pune"/>
    <s v="Maharashtra"/>
    <x v="2"/>
    <x v="0"/>
    <s v="Hand Delivery"/>
    <x v="435"/>
    <n v="10459"/>
    <x v="1"/>
    <n v="5179"/>
  </r>
  <r>
    <n v="439"/>
    <s v="ORD0439"/>
    <s v="INV0439"/>
    <x v="3"/>
    <x v="2"/>
    <s v="Tech Solutions"/>
    <s v="GST71447"/>
    <x v="0"/>
    <s v="65, Main Street"/>
    <s v="Bangalore"/>
    <s v="Karnataka"/>
    <x v="0"/>
    <x v="0"/>
    <s v="Transport"/>
    <x v="436"/>
    <n v="86"/>
    <x v="1"/>
    <n v="6744"/>
  </r>
  <r>
    <n v="440"/>
    <s v="ORD0440"/>
    <s v="INV0440"/>
    <x v="2"/>
    <x v="1"/>
    <s v="ABC Pvt Ltd"/>
    <s v="GST18172"/>
    <x v="4"/>
    <s v="82, Main Street"/>
    <s v="Mumbai"/>
    <s v="Maharashtra"/>
    <x v="2"/>
    <x v="3"/>
    <s v="Transport"/>
    <x v="437"/>
    <n v="8163"/>
    <x v="1"/>
    <n v="2504"/>
  </r>
  <r>
    <n v="441"/>
    <s v="ORD0441"/>
    <s v="INV0441"/>
    <x v="4"/>
    <x v="0"/>
    <s v="Sunrise Ltd"/>
    <s v="GST86449"/>
    <x v="2"/>
    <s v="39, Main Street"/>
    <s v="Mumbai"/>
    <s v="Maharashtra"/>
    <x v="2"/>
    <x v="2"/>
    <s v="Transport"/>
    <x v="438"/>
    <n v="1333"/>
    <x v="1"/>
    <n v="27653"/>
  </r>
  <r>
    <n v="442"/>
    <s v="ORD0442"/>
    <s v="INV0442"/>
    <x v="3"/>
    <x v="2"/>
    <s v="Tech Solutions"/>
    <s v="GST83831"/>
    <x v="4"/>
    <s v="64, Main Street"/>
    <s v="Chennai"/>
    <s v="Tamil Nadu"/>
    <x v="0"/>
    <x v="0"/>
    <s v="Transport"/>
    <x v="439"/>
    <n v="7604"/>
    <x v="1"/>
    <n v="1567"/>
  </r>
  <r>
    <n v="443"/>
    <s v="ORD0443"/>
    <s v="INV0443"/>
    <x v="7"/>
    <x v="3"/>
    <s v="Tech Solutions"/>
    <s v="GST10733"/>
    <x v="2"/>
    <s v="76, Main Street"/>
    <s v="Chennai"/>
    <s v="Tamil Nadu"/>
    <x v="0"/>
    <x v="3"/>
    <s v="Courier"/>
    <x v="440"/>
    <n v="41396"/>
    <x v="1"/>
    <n v="3750"/>
  </r>
  <r>
    <n v="444"/>
    <s v="ORD0444"/>
    <s v="INV0444"/>
    <x v="11"/>
    <x v="2"/>
    <s v="ABC Pvt Ltd"/>
    <s v="GST49391"/>
    <x v="0"/>
    <s v="73, Main Street"/>
    <s v="Pune"/>
    <s v="Maharashtra"/>
    <x v="2"/>
    <x v="2"/>
    <s v="Hand Delivery"/>
    <x v="441"/>
    <n v="993"/>
    <x v="1"/>
    <n v="38346"/>
  </r>
  <r>
    <n v="445"/>
    <s v="ORD0445"/>
    <s v="INV0445"/>
    <x v="6"/>
    <x v="1"/>
    <s v="Global Traders"/>
    <s v="GST78014"/>
    <x v="4"/>
    <s v="68, Main Street"/>
    <s v="Mumbai"/>
    <s v="Maharashtra"/>
    <x v="2"/>
    <x v="3"/>
    <s v="Hand Delivery"/>
    <x v="442"/>
    <n v="18363"/>
    <x v="1"/>
    <n v="17493"/>
  </r>
  <r>
    <n v="446"/>
    <s v="ORD0446"/>
    <s v="INV0446"/>
    <x v="8"/>
    <x v="2"/>
    <s v="Tech Solutions"/>
    <s v="GST79189"/>
    <x v="2"/>
    <s v="65, Main Street"/>
    <s v="Mumbai"/>
    <s v="Maharashtra"/>
    <x v="2"/>
    <x v="3"/>
    <s v="Courier"/>
    <x v="443"/>
    <n v="5275"/>
    <x v="1"/>
    <n v="25575"/>
  </r>
  <r>
    <n v="447"/>
    <s v="ORD0447"/>
    <s v="INV0447"/>
    <x v="8"/>
    <x v="2"/>
    <s v="Sunrise Ltd"/>
    <s v="GST18400"/>
    <x v="4"/>
    <s v="60, Main Street"/>
    <s v="Mumbai"/>
    <s v="Maharashtra"/>
    <x v="2"/>
    <x v="4"/>
    <s v="Hand Delivery"/>
    <x v="444"/>
    <n v="13351"/>
    <x v="0"/>
    <n v="0"/>
  </r>
  <r>
    <n v="448"/>
    <s v="ORD0448"/>
    <s v="INV0448"/>
    <x v="4"/>
    <x v="0"/>
    <s v="ABC Pvt Ltd"/>
    <s v="GST81959"/>
    <x v="3"/>
    <s v="56, Main Street"/>
    <s v="Mumbai"/>
    <s v="Maharashtra"/>
    <x v="2"/>
    <x v="2"/>
    <s v="Courier"/>
    <x v="445"/>
    <n v="22478"/>
    <x v="1"/>
    <n v="20353"/>
  </r>
  <r>
    <n v="449"/>
    <s v="ORD0449"/>
    <s v="INV0449"/>
    <x v="6"/>
    <x v="1"/>
    <s v="XYZ Corp"/>
    <s v="GST74866"/>
    <x v="2"/>
    <s v="68, Main Street"/>
    <s v="Pune"/>
    <s v="Maharashtra"/>
    <x v="2"/>
    <x v="3"/>
    <s v="Courier"/>
    <x v="446"/>
    <n v="12029"/>
    <x v="1"/>
    <n v="4143"/>
  </r>
  <r>
    <n v="450"/>
    <s v="ORD0450"/>
    <s v="INV0450"/>
    <x v="0"/>
    <x v="0"/>
    <s v="Tech Solutions"/>
    <s v="GST85184"/>
    <x v="3"/>
    <s v="45, Main Street"/>
    <s v="Chennai"/>
    <s v="Tamil Nadu"/>
    <x v="0"/>
    <x v="1"/>
    <s v="Hand Delivery"/>
    <x v="447"/>
    <n v="1391"/>
    <x v="1"/>
    <n v="42031"/>
  </r>
  <r>
    <n v="451"/>
    <s v="ORD0451"/>
    <s v="INV0451"/>
    <x v="6"/>
    <x v="1"/>
    <s v="Tech Solutions"/>
    <s v="GST66105"/>
    <x v="4"/>
    <s v="46, Main Street"/>
    <s v="Chennai"/>
    <s v="Tamil Nadu"/>
    <x v="0"/>
    <x v="4"/>
    <s v="Hand Delivery"/>
    <x v="448"/>
    <n v="15833"/>
    <x v="1"/>
    <n v="8259"/>
  </r>
  <r>
    <n v="452"/>
    <s v="ORD0452"/>
    <s v="INV0452"/>
    <x v="4"/>
    <x v="0"/>
    <s v="ABC Pvt Ltd"/>
    <s v="GST16608"/>
    <x v="0"/>
    <s v="39, Main Street"/>
    <s v="Chennai"/>
    <s v="Tamil Nadu"/>
    <x v="0"/>
    <x v="4"/>
    <s v="Transport"/>
    <x v="449"/>
    <n v="156"/>
    <x v="1"/>
    <n v="26936"/>
  </r>
  <r>
    <n v="453"/>
    <s v="ORD0453"/>
    <s v="INV0453"/>
    <x v="4"/>
    <x v="0"/>
    <s v="Tech Solutions"/>
    <s v="GST58455"/>
    <x v="2"/>
    <s v="93, Main Street"/>
    <s v="Bangalore"/>
    <s v="Karnataka"/>
    <x v="0"/>
    <x v="4"/>
    <s v="Hand Delivery"/>
    <x v="450"/>
    <n v="384"/>
    <x v="1"/>
    <n v="21727"/>
  </r>
  <r>
    <n v="454"/>
    <s v="ORD0454"/>
    <s v="INV0454"/>
    <x v="0"/>
    <x v="0"/>
    <s v="XYZ Corp"/>
    <s v="GST91969"/>
    <x v="2"/>
    <s v="35, Main Street"/>
    <s v="Delhi"/>
    <s v="Delhi"/>
    <x v="1"/>
    <x v="1"/>
    <s v="Courier"/>
    <x v="451"/>
    <n v="31988"/>
    <x v="1"/>
    <n v="5001"/>
  </r>
  <r>
    <n v="455"/>
    <s v="ORD0455"/>
    <s v="INV0455"/>
    <x v="2"/>
    <x v="1"/>
    <s v="ABC Pvt Ltd"/>
    <s v="GST67451"/>
    <x v="3"/>
    <s v="59, Main Street"/>
    <s v="Delhi"/>
    <s v="Delhi"/>
    <x v="1"/>
    <x v="3"/>
    <s v="Transport"/>
    <x v="452"/>
    <n v="2330"/>
    <x v="1"/>
    <n v="19114"/>
  </r>
  <r>
    <n v="456"/>
    <s v="ORD0456"/>
    <s v="INV0456"/>
    <x v="9"/>
    <x v="3"/>
    <s v="XYZ Corp"/>
    <s v="GST26186"/>
    <x v="2"/>
    <s v="33, Main Street"/>
    <s v="Chennai"/>
    <s v="Tamil Nadu"/>
    <x v="0"/>
    <x v="2"/>
    <s v="Courier"/>
    <x v="453"/>
    <n v="7029"/>
    <x v="1"/>
    <n v="10895"/>
  </r>
  <r>
    <n v="457"/>
    <s v="ORD0457"/>
    <s v="INV0457"/>
    <x v="4"/>
    <x v="0"/>
    <s v="Tech Solutions"/>
    <s v="GST69385"/>
    <x v="3"/>
    <s v="85, Main Street"/>
    <s v="Delhi"/>
    <s v="Delhi"/>
    <x v="1"/>
    <x v="3"/>
    <s v="Transport"/>
    <x v="454"/>
    <n v="42158"/>
    <x v="1"/>
    <n v="1108"/>
  </r>
  <r>
    <n v="458"/>
    <s v="ORD0458"/>
    <s v="INV0458"/>
    <x v="11"/>
    <x v="2"/>
    <s v="XYZ Corp"/>
    <s v="GST53959"/>
    <x v="0"/>
    <s v="77, Main Street"/>
    <s v="Delhi"/>
    <s v="Delhi"/>
    <x v="1"/>
    <x v="3"/>
    <s v="Transport"/>
    <x v="455"/>
    <n v="26203"/>
    <x v="1"/>
    <n v="3035"/>
  </r>
  <r>
    <n v="459"/>
    <s v="ORD0459"/>
    <s v="INV0459"/>
    <x v="9"/>
    <x v="3"/>
    <s v="XYZ Corp"/>
    <s v="GST12436"/>
    <x v="3"/>
    <s v="66, Main Street"/>
    <s v="Bangalore"/>
    <s v="Karnataka"/>
    <x v="0"/>
    <x v="2"/>
    <s v="Courier"/>
    <x v="456"/>
    <n v="25752"/>
    <x v="1"/>
    <n v="3627"/>
  </r>
  <r>
    <n v="460"/>
    <s v="ORD0460"/>
    <s v="INV0460"/>
    <x v="2"/>
    <x v="1"/>
    <s v="Sunrise Ltd"/>
    <s v="GST87002"/>
    <x v="4"/>
    <s v="78, Main Street"/>
    <s v="Mumbai"/>
    <s v="Maharashtra"/>
    <x v="2"/>
    <x v="3"/>
    <s v="Courier"/>
    <x v="457"/>
    <n v="6481"/>
    <x v="1"/>
    <n v="2392"/>
  </r>
  <r>
    <n v="461"/>
    <s v="ORD0461"/>
    <s v="INV0461"/>
    <x v="4"/>
    <x v="0"/>
    <s v="Tech Solutions"/>
    <s v="GST89722"/>
    <x v="3"/>
    <s v="28, Main Street"/>
    <s v="Bangalore"/>
    <s v="Karnataka"/>
    <x v="0"/>
    <x v="4"/>
    <s v="Transport"/>
    <x v="458"/>
    <n v="23234"/>
    <x v="1"/>
    <n v="11014"/>
  </r>
  <r>
    <n v="462"/>
    <s v="ORD0462"/>
    <s v="INV0462"/>
    <x v="8"/>
    <x v="2"/>
    <s v="XYZ Corp"/>
    <s v="GST48628"/>
    <x v="0"/>
    <s v="11, Main Street"/>
    <s v="Pune"/>
    <s v="Maharashtra"/>
    <x v="2"/>
    <x v="2"/>
    <s v="Transport"/>
    <x v="459"/>
    <n v="36571"/>
    <x v="1"/>
    <n v="11910"/>
  </r>
  <r>
    <n v="463"/>
    <s v="ORD0463"/>
    <s v="INV0463"/>
    <x v="11"/>
    <x v="2"/>
    <s v="Global Traders"/>
    <s v="GST38986"/>
    <x v="1"/>
    <s v="28, Main Street"/>
    <s v="Mumbai"/>
    <s v="Maharashtra"/>
    <x v="2"/>
    <x v="1"/>
    <s v="Transport"/>
    <x v="460"/>
    <n v="7285"/>
    <x v="1"/>
    <n v="39009"/>
  </r>
  <r>
    <n v="464"/>
    <s v="ORD0464"/>
    <s v="INV0464"/>
    <x v="4"/>
    <x v="0"/>
    <s v="Tech Solutions"/>
    <s v="GST46801"/>
    <x v="1"/>
    <s v="54, Main Street"/>
    <s v="Pune"/>
    <s v="Maharashtra"/>
    <x v="2"/>
    <x v="0"/>
    <s v="Courier"/>
    <x v="461"/>
    <n v="6138"/>
    <x v="0"/>
    <n v="0"/>
  </r>
  <r>
    <n v="465"/>
    <s v="ORD0465"/>
    <s v="INV0465"/>
    <x v="9"/>
    <x v="3"/>
    <s v="Tech Solutions"/>
    <s v="GST53177"/>
    <x v="0"/>
    <s v="100, Main Street"/>
    <s v="Pune"/>
    <s v="Maharashtra"/>
    <x v="2"/>
    <x v="0"/>
    <s v="Transport"/>
    <x v="462"/>
    <n v="30939"/>
    <x v="1"/>
    <n v="3299"/>
  </r>
  <r>
    <n v="466"/>
    <s v="ORD0466"/>
    <s v="INV0466"/>
    <x v="0"/>
    <x v="0"/>
    <s v="ABC Pvt Ltd"/>
    <s v="GST43425"/>
    <x v="2"/>
    <s v="94, Main Street"/>
    <s v="Bangalore"/>
    <s v="Karnataka"/>
    <x v="0"/>
    <x v="3"/>
    <s v="Courier"/>
    <x v="463"/>
    <n v="4168"/>
    <x v="1"/>
    <n v="3634"/>
  </r>
  <r>
    <n v="467"/>
    <s v="ORD0467"/>
    <s v="INV0467"/>
    <x v="7"/>
    <x v="3"/>
    <s v="Global Traders"/>
    <s v="GST54303"/>
    <x v="2"/>
    <s v="39, Main Street"/>
    <s v="Delhi"/>
    <s v="Delhi"/>
    <x v="1"/>
    <x v="3"/>
    <s v="Hand Delivery"/>
    <x v="464"/>
    <n v="16160"/>
    <x v="1"/>
    <n v="2864"/>
  </r>
  <r>
    <n v="468"/>
    <s v="ORD0468"/>
    <s v="INV0468"/>
    <x v="4"/>
    <x v="0"/>
    <s v="XYZ Corp"/>
    <s v="GST43560"/>
    <x v="2"/>
    <s v="40, Main Street"/>
    <s v="Mumbai"/>
    <s v="Maharashtra"/>
    <x v="2"/>
    <x v="2"/>
    <s v="Hand Delivery"/>
    <x v="465"/>
    <n v="11526"/>
    <x v="1"/>
    <n v="12927"/>
  </r>
  <r>
    <n v="469"/>
    <s v="ORD0469"/>
    <s v="INV0469"/>
    <x v="2"/>
    <x v="1"/>
    <s v="ABC Pvt Ltd"/>
    <s v="GST44273"/>
    <x v="1"/>
    <s v="82, Main Street"/>
    <s v="Delhi"/>
    <s v="Delhi"/>
    <x v="1"/>
    <x v="3"/>
    <s v="Transport"/>
    <x v="466"/>
    <n v="11976"/>
    <x v="1"/>
    <n v="29973"/>
  </r>
  <r>
    <n v="470"/>
    <s v="ORD0470"/>
    <s v="INV0470"/>
    <x v="10"/>
    <x v="3"/>
    <s v="Global Traders"/>
    <s v="GST92868"/>
    <x v="3"/>
    <s v="6, Main Street"/>
    <s v="Mumbai"/>
    <s v="Maharashtra"/>
    <x v="2"/>
    <x v="3"/>
    <s v="Hand Delivery"/>
    <x v="467"/>
    <n v="35056"/>
    <x v="1"/>
    <n v="1358"/>
  </r>
  <r>
    <n v="471"/>
    <s v="ORD0471"/>
    <s v="INV0471"/>
    <x v="6"/>
    <x v="1"/>
    <s v="Sunrise Ltd"/>
    <s v="GST55517"/>
    <x v="3"/>
    <s v="77, Main Street"/>
    <s v="Delhi"/>
    <s v="Delhi"/>
    <x v="1"/>
    <x v="0"/>
    <s v="Transport"/>
    <x v="468"/>
    <n v="18802"/>
    <x v="1"/>
    <n v="9709"/>
  </r>
  <r>
    <n v="472"/>
    <s v="ORD0472"/>
    <s v="INV0472"/>
    <x v="1"/>
    <x v="0"/>
    <s v="Global Traders"/>
    <s v="GST60784"/>
    <x v="1"/>
    <s v="1, Main Street"/>
    <s v="Mumbai"/>
    <s v="Maharashtra"/>
    <x v="2"/>
    <x v="0"/>
    <s v="Hand Delivery"/>
    <x v="469"/>
    <n v="575"/>
    <x v="1"/>
    <n v="47373"/>
  </r>
  <r>
    <n v="473"/>
    <s v="ORD0473"/>
    <s v="INV0473"/>
    <x v="4"/>
    <x v="0"/>
    <s v="Tech Solutions"/>
    <s v="GST72700"/>
    <x v="3"/>
    <s v="1, Main Street"/>
    <s v="Mumbai"/>
    <s v="Maharashtra"/>
    <x v="2"/>
    <x v="0"/>
    <s v="Courier"/>
    <x v="470"/>
    <n v="6289"/>
    <x v="1"/>
    <n v="678"/>
  </r>
  <r>
    <n v="474"/>
    <s v="ORD0474"/>
    <s v="INV0474"/>
    <x v="6"/>
    <x v="1"/>
    <s v="ABC Pvt Ltd"/>
    <s v="GST76040"/>
    <x v="1"/>
    <s v="80, Main Street"/>
    <s v="Pune"/>
    <s v="Maharashtra"/>
    <x v="2"/>
    <x v="1"/>
    <s v="Transport"/>
    <x v="471"/>
    <n v="17498"/>
    <x v="0"/>
    <n v="0"/>
  </r>
  <r>
    <n v="475"/>
    <s v="ORD0475"/>
    <s v="INV0475"/>
    <x v="3"/>
    <x v="2"/>
    <s v="Tech Solutions"/>
    <s v="GST13605"/>
    <x v="3"/>
    <s v="7, Main Street"/>
    <s v="Delhi"/>
    <s v="Delhi"/>
    <x v="1"/>
    <x v="3"/>
    <s v="Transport"/>
    <x v="472"/>
    <n v="18995"/>
    <x v="1"/>
    <n v="5941"/>
  </r>
  <r>
    <n v="476"/>
    <s v="ORD0476"/>
    <s v="INV0476"/>
    <x v="3"/>
    <x v="2"/>
    <s v="XYZ Corp"/>
    <s v="GST75531"/>
    <x v="0"/>
    <s v="49, Main Street"/>
    <s v="Pune"/>
    <s v="Maharashtra"/>
    <x v="2"/>
    <x v="0"/>
    <s v="Courier"/>
    <x v="473"/>
    <n v="1138"/>
    <x v="1"/>
    <n v="44338"/>
  </r>
  <r>
    <n v="477"/>
    <s v="ORD0477"/>
    <s v="INV0477"/>
    <x v="3"/>
    <x v="2"/>
    <s v="XYZ Corp"/>
    <s v="GST56327"/>
    <x v="2"/>
    <s v="54, Main Street"/>
    <s v="Mumbai"/>
    <s v="Maharashtra"/>
    <x v="2"/>
    <x v="0"/>
    <s v="Courier"/>
    <x v="474"/>
    <n v="20120"/>
    <x v="1"/>
    <n v="24901"/>
  </r>
  <r>
    <n v="478"/>
    <s v="ORD0478"/>
    <s v="INV0478"/>
    <x v="4"/>
    <x v="0"/>
    <s v="Sunrise Ltd"/>
    <s v="GST87121"/>
    <x v="1"/>
    <s v="63, Main Street"/>
    <s v="Pune"/>
    <s v="Maharashtra"/>
    <x v="2"/>
    <x v="2"/>
    <s v="Courier"/>
    <x v="475"/>
    <n v="23753"/>
    <x v="1"/>
    <n v="7013"/>
  </r>
  <r>
    <n v="479"/>
    <s v="ORD0479"/>
    <s v="INV0479"/>
    <x v="4"/>
    <x v="0"/>
    <s v="ABC Pvt Ltd"/>
    <s v="GST19858"/>
    <x v="3"/>
    <s v="78, Main Street"/>
    <s v="Mumbai"/>
    <s v="Maharashtra"/>
    <x v="2"/>
    <x v="4"/>
    <s v="Hand Delivery"/>
    <x v="476"/>
    <n v="17093"/>
    <x v="1"/>
    <n v="20368"/>
  </r>
  <r>
    <n v="480"/>
    <s v="ORD0480"/>
    <s v="INV0480"/>
    <x v="4"/>
    <x v="0"/>
    <s v="Sunrise Ltd"/>
    <s v="GST41709"/>
    <x v="3"/>
    <s v="54, Main Street"/>
    <s v="Bangalore"/>
    <s v="Karnataka"/>
    <x v="0"/>
    <x v="0"/>
    <s v="Transport"/>
    <x v="477"/>
    <n v="13433"/>
    <x v="1"/>
    <n v="2672"/>
  </r>
  <r>
    <n v="481"/>
    <s v="ORD0481"/>
    <s v="INV0481"/>
    <x v="1"/>
    <x v="0"/>
    <s v="ABC Pvt Ltd"/>
    <s v="GST32642"/>
    <x v="0"/>
    <s v="56, Main Street"/>
    <s v="Delhi"/>
    <s v="Delhi"/>
    <x v="1"/>
    <x v="3"/>
    <s v="Transport"/>
    <x v="478"/>
    <n v="434"/>
    <x v="1"/>
    <n v="17051"/>
  </r>
  <r>
    <n v="482"/>
    <s v="ORD0482"/>
    <s v="INV0482"/>
    <x v="4"/>
    <x v="0"/>
    <s v="ABC Pvt Ltd"/>
    <s v="GST29263"/>
    <x v="3"/>
    <s v="76, Main Street"/>
    <s v="Bangalore"/>
    <s v="Karnataka"/>
    <x v="0"/>
    <x v="4"/>
    <s v="Transport"/>
    <x v="479"/>
    <n v="29951"/>
    <x v="1"/>
    <n v="4396"/>
  </r>
  <r>
    <n v="483"/>
    <s v="ORD0483"/>
    <s v="INV0483"/>
    <x v="8"/>
    <x v="2"/>
    <s v="Global Traders"/>
    <s v="GST26999"/>
    <x v="1"/>
    <s v="97, Main Street"/>
    <s v="Mumbai"/>
    <s v="Maharashtra"/>
    <x v="2"/>
    <x v="1"/>
    <s v="Transport"/>
    <x v="480"/>
    <n v="26409"/>
    <x v="1"/>
    <n v="6223"/>
  </r>
  <r>
    <n v="484"/>
    <s v="ORD0484"/>
    <s v="INV0484"/>
    <x v="5"/>
    <x v="1"/>
    <s v="Sunrise Ltd"/>
    <s v="GST54820"/>
    <x v="1"/>
    <s v="55, Main Street"/>
    <s v="Delhi"/>
    <s v="Delhi"/>
    <x v="1"/>
    <x v="1"/>
    <s v="Courier"/>
    <x v="481"/>
    <n v="25673"/>
    <x v="1"/>
    <n v="10765"/>
  </r>
  <r>
    <n v="485"/>
    <s v="ORD0485"/>
    <s v="INV0485"/>
    <x v="2"/>
    <x v="1"/>
    <s v="XYZ Corp"/>
    <s v="GST72068"/>
    <x v="1"/>
    <s v="96, Main Street"/>
    <s v="Chennai"/>
    <s v="Tamil Nadu"/>
    <x v="0"/>
    <x v="0"/>
    <s v="Transport"/>
    <x v="482"/>
    <n v="16887"/>
    <x v="0"/>
    <n v="0"/>
  </r>
  <r>
    <n v="486"/>
    <s v="ORD0486"/>
    <s v="INV0486"/>
    <x v="10"/>
    <x v="3"/>
    <s v="Global Traders"/>
    <s v="GST96589"/>
    <x v="4"/>
    <s v="5, Main Street"/>
    <s v="Pune"/>
    <s v="Maharashtra"/>
    <x v="2"/>
    <x v="2"/>
    <s v="Courier"/>
    <x v="483"/>
    <n v="20183"/>
    <x v="1"/>
    <n v="17838"/>
  </r>
  <r>
    <n v="487"/>
    <s v="ORD0487"/>
    <s v="INV0487"/>
    <x v="4"/>
    <x v="0"/>
    <s v="ABC Pvt Ltd"/>
    <s v="GST45230"/>
    <x v="3"/>
    <s v="64, Main Street"/>
    <s v="Bangalore"/>
    <s v="Karnataka"/>
    <x v="0"/>
    <x v="2"/>
    <s v="Hand Delivery"/>
    <x v="484"/>
    <n v="953"/>
    <x v="1"/>
    <n v="9963"/>
  </r>
  <r>
    <n v="488"/>
    <s v="ORD0488"/>
    <s v="INV0488"/>
    <x v="8"/>
    <x v="2"/>
    <s v="ABC Pvt Ltd"/>
    <s v="GST31612"/>
    <x v="1"/>
    <s v="6, Main Street"/>
    <s v="Delhi"/>
    <s v="Delhi"/>
    <x v="1"/>
    <x v="0"/>
    <s v="Hand Delivery"/>
    <x v="485"/>
    <n v="34623"/>
    <x v="0"/>
    <n v="0"/>
  </r>
  <r>
    <n v="489"/>
    <s v="ORD0489"/>
    <s v="INV0489"/>
    <x v="11"/>
    <x v="2"/>
    <s v="Sunrise Ltd"/>
    <s v="GST24419"/>
    <x v="2"/>
    <s v="99, Main Street"/>
    <s v="Delhi"/>
    <s v="Delhi"/>
    <x v="1"/>
    <x v="3"/>
    <s v="Courier"/>
    <x v="486"/>
    <n v="8955"/>
    <x v="1"/>
    <n v="34051"/>
  </r>
  <r>
    <n v="490"/>
    <s v="ORD0490"/>
    <s v="INV0490"/>
    <x v="6"/>
    <x v="1"/>
    <s v="ABC Pvt Ltd"/>
    <s v="GST83146"/>
    <x v="4"/>
    <s v="59, Main Street"/>
    <s v="Pune"/>
    <s v="Maharashtra"/>
    <x v="2"/>
    <x v="3"/>
    <s v="Hand Delivery"/>
    <x v="487"/>
    <n v="16639"/>
    <x v="1"/>
    <n v="11043"/>
  </r>
  <r>
    <n v="491"/>
    <s v="ORD0491"/>
    <s v="INV0491"/>
    <x v="7"/>
    <x v="3"/>
    <s v="Sunrise Ltd"/>
    <s v="GST56618"/>
    <x v="1"/>
    <s v="21, Main Street"/>
    <s v="Delhi"/>
    <s v="Delhi"/>
    <x v="1"/>
    <x v="3"/>
    <s v="Hand Delivery"/>
    <x v="488"/>
    <n v="8824"/>
    <x v="0"/>
    <n v="0"/>
  </r>
  <r>
    <n v="492"/>
    <s v="ORD0492"/>
    <s v="INV0492"/>
    <x v="9"/>
    <x v="3"/>
    <s v="XYZ Corp"/>
    <s v="GST71063"/>
    <x v="4"/>
    <s v="51, Main Street"/>
    <s v="Bangalore"/>
    <s v="Karnataka"/>
    <x v="0"/>
    <x v="3"/>
    <s v="Hand Delivery"/>
    <x v="489"/>
    <n v="17517"/>
    <x v="0"/>
    <n v="0"/>
  </r>
  <r>
    <n v="493"/>
    <s v="ORD0493"/>
    <s v="INV0493"/>
    <x v="3"/>
    <x v="2"/>
    <s v="Sunrise Ltd"/>
    <s v="GST76350"/>
    <x v="2"/>
    <s v="4, Main Street"/>
    <s v="Bangalore"/>
    <s v="Karnataka"/>
    <x v="0"/>
    <x v="3"/>
    <s v="Courier"/>
    <x v="490"/>
    <n v="10713"/>
    <x v="1"/>
    <n v="19538"/>
  </r>
  <r>
    <n v="494"/>
    <s v="ORD0494"/>
    <s v="INV0494"/>
    <x v="8"/>
    <x v="2"/>
    <s v="Global Traders"/>
    <s v="GST80211"/>
    <x v="0"/>
    <s v="50, Main Street"/>
    <s v="Chennai"/>
    <s v="Tamil Nadu"/>
    <x v="0"/>
    <x v="2"/>
    <s v="Transport"/>
    <x v="491"/>
    <n v="5612"/>
    <x v="1"/>
    <n v="26114"/>
  </r>
  <r>
    <n v="495"/>
    <s v="ORD0495"/>
    <s v="INV0495"/>
    <x v="2"/>
    <x v="1"/>
    <s v="Global Traders"/>
    <s v="GST99526"/>
    <x v="4"/>
    <s v="92, Main Street"/>
    <s v="Chennai"/>
    <s v="Tamil Nadu"/>
    <x v="0"/>
    <x v="3"/>
    <s v="Courier"/>
    <x v="492"/>
    <n v="6891"/>
    <x v="1"/>
    <n v="3330"/>
  </r>
  <r>
    <n v="496"/>
    <s v="ORD0496"/>
    <s v="INV0496"/>
    <x v="10"/>
    <x v="3"/>
    <s v="XYZ Corp"/>
    <s v="GST74009"/>
    <x v="0"/>
    <s v="42, Main Street"/>
    <s v="Pune"/>
    <s v="Maharashtra"/>
    <x v="2"/>
    <x v="3"/>
    <s v="Hand Delivery"/>
    <x v="493"/>
    <n v="9643"/>
    <x v="1"/>
    <n v="5470"/>
  </r>
  <r>
    <n v="497"/>
    <s v="ORD0497"/>
    <s v="INV0497"/>
    <x v="7"/>
    <x v="3"/>
    <s v="Sunrise Ltd"/>
    <s v="GST63450"/>
    <x v="1"/>
    <s v="91, Main Street"/>
    <s v="Delhi"/>
    <s v="Delhi"/>
    <x v="1"/>
    <x v="2"/>
    <s v="Hand Delivery"/>
    <x v="494"/>
    <n v="1977"/>
    <x v="1"/>
    <n v="44214"/>
  </r>
  <r>
    <n v="498"/>
    <s v="ORD0498"/>
    <s v="INV0498"/>
    <x v="1"/>
    <x v="0"/>
    <s v="ABC Pvt Ltd"/>
    <s v="GST79370"/>
    <x v="2"/>
    <s v="50, Main Street"/>
    <s v="Bangalore"/>
    <s v="Karnataka"/>
    <x v="0"/>
    <x v="4"/>
    <s v="Courier"/>
    <x v="495"/>
    <n v="6066"/>
    <x v="1"/>
    <n v="40091"/>
  </r>
  <r>
    <n v="499"/>
    <s v="ORD0499"/>
    <s v="INV0499"/>
    <x v="11"/>
    <x v="2"/>
    <s v="Sunrise Ltd"/>
    <s v="GST78612"/>
    <x v="0"/>
    <s v="77, Main Street"/>
    <s v="Mumbai"/>
    <s v="Maharashtra"/>
    <x v="2"/>
    <x v="0"/>
    <s v="Courier"/>
    <x v="496"/>
    <n v="24985"/>
    <x v="1"/>
    <n v="13342"/>
  </r>
  <r>
    <n v="500"/>
    <s v="ORD0500"/>
    <s v="INV0500"/>
    <x v="0"/>
    <x v="0"/>
    <s v="Tech Solutions"/>
    <s v="GST45274"/>
    <x v="0"/>
    <s v="57, Main Street"/>
    <s v="Delhi"/>
    <s v="Delhi"/>
    <x v="1"/>
    <x v="3"/>
    <s v="Courier"/>
    <x v="497"/>
    <n v="1466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CC5F0-EC09-46A1-B4A5-7609EF713BB4}" name="PivotTable8"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Quaterly Sales">
  <location ref="F25:L31" firstHeaderRow="1" firstDataRow="2" firstDataCol="1"/>
  <pivotFields count="18">
    <pivotField showAll="0"/>
    <pivotField showAll="0"/>
    <pivotField showAll="0"/>
    <pivotField showAll="0"/>
    <pivotField axis="axisRow" showAll="0">
      <items count="5">
        <item x="1"/>
        <item x="0"/>
        <item x="2"/>
        <item x="3"/>
        <item t="default"/>
      </items>
    </pivotField>
    <pivotField showAll="0"/>
    <pivotField showAll="0"/>
    <pivotField axis="axisCol" showAll="0">
      <items count="6">
        <item x="2"/>
        <item x="1"/>
        <item x="4"/>
        <item x="0"/>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Fields count="1">
    <field x="7"/>
  </colFields>
  <colItems count="6">
    <i>
      <x/>
    </i>
    <i>
      <x v="1"/>
    </i>
    <i>
      <x v="2"/>
    </i>
    <i>
      <x v="3"/>
    </i>
    <i>
      <x v="4"/>
    </i>
    <i t="grand">
      <x/>
    </i>
  </colItems>
  <dataFields count="1">
    <dataField name="Quaterly Sales" fld="14" baseField="0" baseItem="0" numFmtId="166"/>
  </dataFields>
  <formats count="4">
    <format dxfId="35">
      <pivotArea type="origin" dataOnly="0" labelOnly="1" outline="0" fieldPosition="0"/>
    </format>
    <format dxfId="34">
      <pivotArea field="7" type="button" dataOnly="0" labelOnly="1" outline="0" axis="axisCol" fieldPosition="0"/>
    </format>
    <format dxfId="33">
      <pivotArea type="topRight" dataOnly="0" labelOnly="1" outline="0" fieldPosition="0"/>
    </format>
    <format dxfId="3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8AC7CD-90F1-42B1-BE9C-9FB29E2AB9A8}"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L17:M20" firstHeaderRow="1" firstDataRow="1" firstDataCol="1"/>
  <pivotFields count="18">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16"/>
  </rowFields>
  <rowItems count="3">
    <i>
      <x/>
    </i>
    <i>
      <x v="1"/>
    </i>
    <i t="grand">
      <x/>
    </i>
  </rowItems>
  <colItems count="1">
    <i/>
  </colItems>
  <dataFields count="1">
    <dataField name="Count of Invoice Number" fld="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DD5602-370B-4FE5-8614-FACA89572544}" name="PivotTable6"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Person">
  <location ref="G17:J23" firstHeaderRow="0"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4"/>
        <item x="3"/>
        <item t="default"/>
      </items>
    </pivotField>
    <pivotField showAll="0"/>
    <pivotField dataField="1" showAll="0"/>
    <pivotField dataField="1" showAll="0"/>
    <pivotField showAll="0"/>
    <pivotField dataField="1" showAll="0"/>
  </pivotFields>
  <rowFields count="1">
    <field x="12"/>
  </rowFields>
  <rowItems count="6">
    <i>
      <x/>
    </i>
    <i>
      <x v="1"/>
    </i>
    <i>
      <x v="2"/>
    </i>
    <i>
      <x v="3"/>
    </i>
    <i>
      <x v="4"/>
    </i>
    <i t="grand">
      <x/>
    </i>
  </rowItems>
  <colFields count="1">
    <field x="-2"/>
  </colFields>
  <colItems count="3">
    <i>
      <x/>
    </i>
    <i i="1">
      <x v="1"/>
    </i>
    <i i="2">
      <x v="2"/>
    </i>
  </colItems>
  <dataFields count="3">
    <dataField name="Invoice Amount " fld="14" baseField="0" baseItem="0"/>
    <dataField name=" Receipts" fld="15" baseField="0" baseItem="0"/>
    <dataField name=" Receivable" fld="17" baseField="0" baseItem="0"/>
  </dataFields>
  <formats count="7">
    <format dxfId="42">
      <pivotArea collapsedLevelsAreSubtotals="1" fieldPosition="0">
        <references count="1">
          <reference field="12" count="0"/>
        </references>
      </pivotArea>
    </format>
    <format dxfId="41">
      <pivotArea field="12" type="button" dataOnly="0" labelOnly="1" outline="0" axis="axisRow" fieldPosition="0"/>
    </format>
    <format dxfId="40">
      <pivotArea dataOnly="0" labelOnly="1" fieldPosition="0">
        <references count="1">
          <reference field="12" count="0"/>
        </references>
      </pivotArea>
    </format>
    <format dxfId="39">
      <pivotArea dataOnly="0" labelOnly="1" outline="0" fieldPosition="0">
        <references count="1">
          <reference field="4294967294" count="3">
            <x v="0"/>
            <x v="1"/>
            <x v="2"/>
          </reference>
        </references>
      </pivotArea>
    </format>
    <format dxfId="38">
      <pivotArea grandRow="1" outline="0" collapsedLevelsAreSubtotals="1" fieldPosition="0"/>
    </format>
    <format dxfId="37">
      <pivotArea dataOnly="0" labelOnly="1" grandRow="1" outline="0" fieldPosition="0"/>
    </format>
    <format dxfId="3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3CC525-A5CA-4EE0-81CB-6651675949C9}" name="PivotTable5"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ocation ref="K8:N14" firstHeaderRow="0" firstDataRow="1" firstDataCol="1"/>
  <pivotFields count="18">
    <pivotField showAll="0"/>
    <pivotField showAll="0"/>
    <pivotField showAll="0"/>
    <pivotField showAll="0">
      <items count="13">
        <item x="6"/>
        <item x="5"/>
        <item x="2"/>
        <item x="4"/>
        <item x="0"/>
        <item x="1"/>
        <item x="8"/>
        <item x="3"/>
        <item x="11"/>
        <item x="7"/>
        <item x="10"/>
        <item x="9"/>
        <item t="default"/>
      </items>
    </pivotField>
    <pivotField showAll="0"/>
    <pivotField showAll="0"/>
    <pivotField showAll="0"/>
    <pivotField axis="axisRow" showAll="0">
      <items count="6">
        <item x="2"/>
        <item x="1"/>
        <item x="4"/>
        <item x="0"/>
        <item x="3"/>
        <item t="default"/>
      </items>
    </pivotField>
    <pivotField showAll="0"/>
    <pivotField showAll="0"/>
    <pivotField showAll="0"/>
    <pivotField showAll="0">
      <items count="4">
        <item h="1" x="1"/>
        <item x="0"/>
        <item h="1" x="2"/>
        <item t="default"/>
      </items>
    </pivotField>
    <pivotField showAll="0"/>
    <pivotField showAll="0"/>
    <pivotField dataField="1" showAll="0"/>
    <pivotField dataField="1" showAll="0"/>
    <pivotField showAll="0"/>
    <pivotField dataField="1" showAll="0"/>
  </pivotFields>
  <rowFields count="1">
    <field x="7"/>
  </rowFields>
  <rowItems count="6">
    <i>
      <x/>
    </i>
    <i>
      <x v="1"/>
    </i>
    <i>
      <x v="2"/>
    </i>
    <i>
      <x v="3"/>
    </i>
    <i>
      <x v="4"/>
    </i>
    <i t="grand">
      <x/>
    </i>
  </rowItems>
  <colFields count="1">
    <field x="-2"/>
  </colFields>
  <colItems count="3">
    <i>
      <x/>
    </i>
    <i i="1">
      <x v="1"/>
    </i>
    <i i="2">
      <x v="2"/>
    </i>
  </colItems>
  <dataFields count="3">
    <dataField name="Invoice Amount " fld="14" baseField="0" baseItem="0"/>
    <dataField name="Receipts " fld="15" baseField="0" baseItem="0"/>
    <dataField name="Receivable " fld="17" baseField="0" baseItem="0"/>
  </dataFields>
  <formats count="7">
    <format dxfId="49">
      <pivotArea outline="0" collapsedLevelsAreSubtotals="1" fieldPosition="0"/>
    </format>
    <format dxfId="48">
      <pivotArea type="all" dataOnly="0" outline="0" fieldPosition="0"/>
    </format>
    <format dxfId="47">
      <pivotArea outline="0" collapsedLevelsAreSubtotals="1" fieldPosition="0"/>
    </format>
    <format dxfId="46">
      <pivotArea field="7" type="button" dataOnly="0" labelOnly="1" outline="0" axis="axisRow" fieldPosition="0"/>
    </format>
    <format dxfId="45">
      <pivotArea dataOnly="0" labelOnly="1" fieldPosition="0">
        <references count="1">
          <reference field="7"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1F8238-1E1B-4967-BF47-768E2F4CB856}"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F9:I13" firstHeaderRow="0"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dataField="1" showAll="0"/>
    <pivotField showAll="0"/>
    <pivotField dataField="1" showAll="0"/>
  </pivotFields>
  <rowFields count="1">
    <field x="11"/>
  </rowFields>
  <rowItems count="4">
    <i>
      <x/>
    </i>
    <i>
      <x v="1"/>
    </i>
    <i>
      <x v="2"/>
    </i>
    <i t="grand">
      <x/>
    </i>
  </rowItems>
  <colFields count="1">
    <field x="-2"/>
  </colFields>
  <colItems count="3">
    <i>
      <x/>
    </i>
    <i i="1">
      <x v="1"/>
    </i>
    <i i="2">
      <x v="2"/>
    </i>
  </colItems>
  <dataFields count="3">
    <dataField name="Sales" fld="14" baseField="0" baseItem="0"/>
    <dataField name="Receivable " fld="17" baseField="0" baseItem="0"/>
    <dataField name="Receipts " fld="15" baseField="0" baseItem="0"/>
  </dataFields>
  <formats count="2">
    <format dxfId="51">
      <pivotArea collapsedLevelsAreSubtotals="1" fieldPosition="0">
        <references count="1">
          <reference field="11" count="0"/>
        </references>
      </pivotArea>
    </format>
    <format dxfId="50">
      <pivotArea grandRow="1"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71DF4-EFF2-4FBA-B88F-3C75767D57BD}"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Months">
  <location ref="A9:D22" firstHeaderRow="0" firstDataRow="1" firstDataCol="1"/>
  <pivotFields count="18">
    <pivotField subtotalTop="0" showAll="0"/>
    <pivotField subtotalTop="0" showAll="0"/>
    <pivotField subtotalTop="0" showAll="0"/>
    <pivotField axis="axisRow" subtotalTop="0" showAll="0">
      <items count="13">
        <item x="6"/>
        <item x="5"/>
        <item x="2"/>
        <item x="4"/>
        <item x="0"/>
        <item x="1"/>
        <item x="8"/>
        <item x="3"/>
        <item x="11"/>
        <item x="7"/>
        <item x="10"/>
        <item x="9"/>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items count="499">
        <item x="32"/>
        <item x="275"/>
        <item x="52"/>
        <item x="266"/>
        <item x="159"/>
        <item x="380"/>
        <item x="265"/>
        <item x="322"/>
        <item x="42"/>
        <item x="362"/>
        <item x="55"/>
        <item x="301"/>
        <item x="255"/>
        <item x="461"/>
        <item x="92"/>
        <item x="11"/>
        <item x="416"/>
        <item x="94"/>
        <item x="150"/>
        <item x="345"/>
        <item x="325"/>
        <item x="53"/>
        <item x="24"/>
        <item x="102"/>
        <item x="101"/>
        <item x="436"/>
        <item x="270"/>
        <item x="365"/>
        <item x="470"/>
        <item x="69"/>
        <item x="295"/>
        <item x="206"/>
        <item x="408"/>
        <item x="18"/>
        <item x="172"/>
        <item x="190"/>
        <item x="25"/>
        <item x="377"/>
        <item x="463"/>
        <item x="124"/>
        <item x="108"/>
        <item x="176"/>
        <item x="263"/>
        <item x="364"/>
        <item x="387"/>
        <item x="199"/>
        <item x="178"/>
        <item x="488"/>
        <item x="457"/>
        <item x="287"/>
        <item x="439"/>
        <item x="400"/>
        <item x="19"/>
        <item x="336"/>
        <item x="38"/>
        <item x="109"/>
        <item x="96"/>
        <item x="378"/>
        <item x="492"/>
        <item x="333"/>
        <item x="144"/>
        <item x="246"/>
        <item x="437"/>
        <item x="214"/>
        <item x="394"/>
        <item x="359"/>
        <item x="79"/>
        <item x="484"/>
        <item x="121"/>
        <item x="115"/>
        <item x="223"/>
        <item x="215"/>
        <item x="65"/>
        <item x="128"/>
        <item x="302"/>
        <item x="300"/>
        <item x="29"/>
        <item x="289"/>
        <item x="433"/>
        <item x="40"/>
        <item x="80"/>
        <item x="368"/>
        <item x="331"/>
        <item x="110"/>
        <item x="118"/>
        <item x="193"/>
        <item x="99"/>
        <item x="179"/>
        <item x="224"/>
        <item x="135"/>
        <item x="276"/>
        <item x="89"/>
        <item x="153"/>
        <item x="202"/>
        <item x="22"/>
        <item x="5"/>
        <item x="310"/>
        <item x="444"/>
        <item x="267"/>
        <item x="56"/>
        <item x="366"/>
        <item x="269"/>
        <item x="168"/>
        <item x="31"/>
        <item x="249"/>
        <item x="139"/>
        <item x="434"/>
        <item x="341"/>
        <item x="417"/>
        <item x="238"/>
        <item x="273"/>
        <item x="171"/>
        <item x="497"/>
        <item x="113"/>
        <item x="57"/>
        <item x="493"/>
        <item x="229"/>
        <item x="404"/>
        <item x="405"/>
        <item x="314"/>
        <item x="429"/>
        <item x="435"/>
        <item x="35"/>
        <item x="85"/>
        <item x="294"/>
        <item x="264"/>
        <item x="196"/>
        <item x="410"/>
        <item x="477"/>
        <item x="446"/>
        <item x="182"/>
        <item x="346"/>
        <item x="401"/>
        <item x="257"/>
        <item x="342"/>
        <item x="282"/>
        <item x="49"/>
        <item x="482"/>
        <item x="198"/>
        <item x="478"/>
        <item x="471"/>
        <item x="297"/>
        <item x="489"/>
        <item x="334"/>
        <item x="244"/>
        <item x="453"/>
        <item x="327"/>
        <item x="0"/>
        <item x="66"/>
        <item x="155"/>
        <item x="430"/>
        <item x="464"/>
        <item x="100"/>
        <item x="369"/>
        <item x="127"/>
        <item x="45"/>
        <item x="317"/>
        <item x="399"/>
        <item x="414"/>
        <item x="68"/>
        <item x="1"/>
        <item x="216"/>
        <item x="274"/>
        <item x="106"/>
        <item x="146"/>
        <item x="260"/>
        <item x="308"/>
        <item x="424"/>
        <item x="452"/>
        <item x="355"/>
        <item x="8"/>
        <item x="367"/>
        <item x="4"/>
        <item x="351"/>
        <item x="393"/>
        <item x="83"/>
        <item x="9"/>
        <item x="450"/>
        <item x="77"/>
        <item x="48"/>
        <item x="288"/>
        <item x="75"/>
        <item x="425"/>
        <item x="383"/>
        <item x="357"/>
        <item x="237"/>
        <item x="254"/>
        <item x="43"/>
        <item x="352"/>
        <item x="235"/>
        <item x="194"/>
        <item x="160"/>
        <item x="281"/>
        <item x="67"/>
        <item x="231"/>
        <item x="339"/>
        <item x="319"/>
        <item x="428"/>
        <item x="415"/>
        <item x="183"/>
        <item x="421"/>
        <item x="60"/>
        <item x="448"/>
        <item x="143"/>
        <item x="200"/>
        <item x="163"/>
        <item x="259"/>
        <item x="465"/>
        <item x="391"/>
        <item x="389"/>
        <item x="262"/>
        <item x="472"/>
        <item x="70"/>
        <item x="361"/>
        <item x="422"/>
        <item x="230"/>
        <item x="220"/>
        <item x="112"/>
        <item x="63"/>
        <item x="120"/>
        <item x="76"/>
        <item x="343"/>
        <item x="154"/>
        <item x="204"/>
        <item x="256"/>
        <item x="117"/>
        <item x="236"/>
        <item x="272"/>
        <item x="316"/>
        <item x="354"/>
        <item x="81"/>
        <item x="426"/>
        <item x="360"/>
        <item x="180"/>
        <item x="353"/>
        <item x="449"/>
        <item x="6"/>
        <item x="382"/>
        <item x="374"/>
        <item x="407"/>
        <item x="285"/>
        <item x="62"/>
        <item x="158"/>
        <item x="95"/>
        <item x="487"/>
        <item x="232"/>
        <item x="145"/>
        <item x="432"/>
        <item x="398"/>
        <item x="375"/>
        <item x="123"/>
        <item x="227"/>
        <item x="468"/>
        <item x="162"/>
        <item x="296"/>
        <item x="438"/>
        <item x="397"/>
        <item x="306"/>
        <item x="125"/>
        <item x="455"/>
        <item x="456"/>
        <item x="7"/>
        <item x="324"/>
        <item x="3"/>
        <item x="258"/>
        <item x="315"/>
        <item x="349"/>
        <item x="51"/>
        <item x="363"/>
        <item x="278"/>
        <item x="126"/>
        <item x="142"/>
        <item x="490"/>
        <item x="335"/>
        <item x="241"/>
        <item x="321"/>
        <item x="136"/>
        <item x="475"/>
        <item x="443"/>
        <item x="290"/>
        <item x="217"/>
        <item x="107"/>
        <item x="245"/>
        <item x="418"/>
        <item x="15"/>
        <item x="491"/>
        <item x="207"/>
        <item x="130"/>
        <item x="279"/>
        <item x="298"/>
        <item x="44"/>
        <item x="427"/>
        <item x="46"/>
        <item x="312"/>
        <item x="111"/>
        <item x="105"/>
        <item x="480"/>
        <item x="17"/>
        <item x="358"/>
        <item x="161"/>
        <item x="74"/>
        <item x="88"/>
        <item x="252"/>
        <item x="350"/>
        <item x="37"/>
        <item x="406"/>
        <item x="98"/>
        <item x="186"/>
        <item x="170"/>
        <item x="277"/>
        <item x="311"/>
        <item x="291"/>
        <item x="381"/>
        <item x="379"/>
        <item x="91"/>
        <item x="304"/>
        <item x="462"/>
        <item x="458"/>
        <item x="212"/>
        <item x="479"/>
        <item x="152"/>
        <item x="485"/>
        <item x="213"/>
        <item x="423"/>
        <item x="338"/>
        <item x="356"/>
        <item x="323"/>
        <item x="412"/>
        <item x="72"/>
        <item x="442"/>
        <item x="271"/>
        <item x="86"/>
        <item x="299"/>
        <item x="59"/>
        <item x="467"/>
        <item x="481"/>
        <item x="166"/>
        <item x="313"/>
        <item x="192"/>
        <item x="280"/>
        <item x="284"/>
        <item x="251"/>
        <item x="61"/>
        <item x="419"/>
        <item x="451"/>
        <item x="174"/>
        <item x="50"/>
        <item x="411"/>
        <item x="476"/>
        <item x="420"/>
        <item x="483"/>
        <item x="156"/>
        <item x="164"/>
        <item x="496"/>
        <item x="309"/>
        <item x="210"/>
        <item x="370"/>
        <item x="233"/>
        <item x="195"/>
        <item x="197"/>
        <item x="413"/>
        <item x="185"/>
        <item x="16"/>
        <item x="441"/>
        <item x="344"/>
        <item x="320"/>
        <item x="203"/>
        <item x="134"/>
        <item x="228"/>
        <item x="402"/>
        <item x="326"/>
        <item x="177"/>
        <item x="340"/>
        <item x="329"/>
        <item x="373"/>
        <item x="396"/>
        <item x="181"/>
        <item x="205"/>
        <item x="218"/>
        <item x="119"/>
        <item x="36"/>
        <item x="129"/>
        <item x="330"/>
        <item x="268"/>
        <item x="188"/>
        <item x="293"/>
        <item x="466"/>
        <item x="138"/>
        <item x="248"/>
        <item x="21"/>
        <item x="247"/>
        <item x="90"/>
        <item x="26"/>
        <item x="303"/>
        <item x="209"/>
        <item x="175"/>
        <item x="431"/>
        <item x="93"/>
        <item x="445"/>
        <item x="58"/>
        <item x="148"/>
        <item x="137"/>
        <item x="133"/>
        <item x="486"/>
        <item x="47"/>
        <item x="157"/>
        <item x="454"/>
        <item x="187"/>
        <item x="447"/>
        <item x="131"/>
        <item x="208"/>
        <item x="240"/>
        <item x="305"/>
        <item x="283"/>
        <item x="73"/>
        <item x="242"/>
        <item x="184"/>
        <item x="328"/>
        <item x="167"/>
        <item x="384"/>
        <item x="189"/>
        <item x="286"/>
        <item x="253"/>
        <item x="13"/>
        <item x="87"/>
        <item x="114"/>
        <item x="347"/>
        <item x="371"/>
        <item x="151"/>
        <item x="28"/>
        <item x="2"/>
        <item x="20"/>
        <item x="474"/>
        <item x="409"/>
        <item x="225"/>
        <item x="440"/>
        <item x="132"/>
        <item x="221"/>
        <item x="473"/>
        <item x="348"/>
        <item x="201"/>
        <item x="122"/>
        <item x="307"/>
        <item x="14"/>
        <item x="239"/>
        <item x="495"/>
        <item x="494"/>
        <item x="261"/>
        <item x="460"/>
        <item x="392"/>
        <item x="97"/>
        <item x="173"/>
        <item x="64"/>
        <item x="332"/>
        <item x="211"/>
        <item x="84"/>
        <item x="30"/>
        <item x="191"/>
        <item x="27"/>
        <item x="337"/>
        <item x="292"/>
        <item x="372"/>
        <item x="82"/>
        <item x="385"/>
        <item x="386"/>
        <item x="141"/>
        <item x="222"/>
        <item x="10"/>
        <item x="78"/>
        <item x="250"/>
        <item x="469"/>
        <item x="12"/>
        <item x="54"/>
        <item x="318"/>
        <item x="34"/>
        <item x="140"/>
        <item x="403"/>
        <item x="459"/>
        <item x="103"/>
        <item x="147"/>
        <item x="234"/>
        <item x="390"/>
        <item x="104"/>
        <item x="219"/>
        <item x="23"/>
        <item x="226"/>
        <item x="243"/>
        <item x="165"/>
        <item x="169"/>
        <item x="149"/>
        <item x="388"/>
        <item x="41"/>
        <item x="71"/>
        <item x="39"/>
        <item x="376"/>
        <item x="33"/>
        <item x="116"/>
        <item x="395"/>
        <item t="default"/>
      </items>
    </pivotField>
    <pivotField dataField="1" subtotalTop="0" showAll="0"/>
    <pivotField subtotalTop="0" showAll="0"/>
    <pivotField dataField="1" subtotalTop="0"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 Invoice Amount" fld="14" baseField="0" baseItem="0" numFmtId="166"/>
    <dataField name="Receivable " fld="17" baseField="0" baseItem="0" numFmtId="166"/>
    <dataField name=" Receipts" fld="15" baseField="0" baseItem="0" numFmtId="166"/>
  </dataFields>
  <formats count="4">
    <format dxfId="28">
      <pivotArea collapsedLevelsAreSubtotals="1" fieldPosition="0">
        <references count="2">
          <reference field="4294967294" count="1" selected="0">
            <x v="0"/>
          </reference>
          <reference field="3" count="1">
            <x v="0"/>
          </reference>
        </references>
      </pivotArea>
    </format>
    <format dxfId="29">
      <pivotArea outline="0" fieldPosition="0">
        <references count="1">
          <reference field="4294967294" count="1">
            <x v="0"/>
          </reference>
        </references>
      </pivotArea>
    </format>
    <format dxfId="30">
      <pivotArea outline="0" fieldPosition="0">
        <references count="1">
          <reference field="4294967294" count="1">
            <x v="1"/>
          </reference>
        </references>
      </pivotArea>
    </format>
    <format dxfId="31">
      <pivotArea outline="0" fieldPosition="0">
        <references count="1">
          <reference field="4294967294" count="1">
            <x v="2"/>
          </reference>
        </references>
      </pivotArea>
    </format>
  </formats>
  <chartFormats count="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81DA74-0562-4B24-AFD7-21B2791E561D}" sourceName="Region">
  <pivotTables>
    <pivotTable tabId="3" name="PivotTable5"/>
  </pivotTables>
  <data>
    <tabular pivotCacheId="963874484">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CA183D-6CB2-4691-A6E3-BD8C18B759E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1"/>
  <sheetViews>
    <sheetView topLeftCell="H1" workbookViewId="0">
      <pane ySplit="1" topLeftCell="A485" activePane="bottomLeft" state="frozen"/>
      <selection pane="bottomLeft" activeCell="F10" sqref="F10"/>
    </sheetView>
  </sheetViews>
  <sheetFormatPr defaultRowHeight="14.5"/>
  <cols>
    <col min="1" max="2" width="12" customWidth="1"/>
    <col min="3" max="3" width="16" customWidth="1"/>
    <col min="4" max="5" width="12" customWidth="1"/>
    <col min="6" max="6" width="18" customWidth="1"/>
    <col min="7" max="8" width="12" customWidth="1"/>
    <col min="9" max="9" width="17" customWidth="1"/>
    <col min="10" max="10" width="12" customWidth="1"/>
    <col min="11" max="11" width="13" customWidth="1"/>
    <col min="12" max="12" width="12" customWidth="1"/>
    <col min="13" max="13" width="14" customWidth="1"/>
    <col min="14" max="14" width="18" bestFit="1" customWidth="1"/>
    <col min="15" max="15" width="16" bestFit="1" customWidth="1"/>
    <col min="16" max="16" width="12" bestFit="1" customWidth="1"/>
    <col min="17" max="17" width="24" bestFit="1" customWidth="1"/>
    <col min="18" max="18" width="12" customWidth="1"/>
  </cols>
  <sheetData>
    <row r="1" spans="1:18" ht="30" customHeight="1">
      <c r="A1" s="6" t="s">
        <v>52</v>
      </c>
      <c r="B1" s="6" t="s">
        <v>53</v>
      </c>
      <c r="C1" s="6" t="s">
        <v>54</v>
      </c>
      <c r="D1" s="6" t="s">
        <v>10</v>
      </c>
      <c r="E1" s="6" t="s">
        <v>55</v>
      </c>
      <c r="F1" s="6" t="s">
        <v>56</v>
      </c>
      <c r="G1" s="6" t="s">
        <v>57</v>
      </c>
      <c r="H1" s="6" t="s">
        <v>16</v>
      </c>
      <c r="I1" s="6" t="s">
        <v>58</v>
      </c>
      <c r="J1" s="6" t="s">
        <v>59</v>
      </c>
      <c r="K1" s="6" t="s">
        <v>60</v>
      </c>
      <c r="L1" s="6" t="s">
        <v>14</v>
      </c>
      <c r="M1" s="6" t="s">
        <v>39</v>
      </c>
      <c r="N1" s="6" t="s">
        <v>61</v>
      </c>
      <c r="O1" s="6" t="s">
        <v>11</v>
      </c>
      <c r="P1" s="6" t="s">
        <v>12</v>
      </c>
      <c r="Q1" s="6" t="s">
        <v>62</v>
      </c>
      <c r="R1" s="6" t="s">
        <v>13</v>
      </c>
    </row>
    <row r="2" spans="1:18">
      <c r="A2">
        <v>1</v>
      </c>
      <c r="B2" t="s">
        <v>63</v>
      </c>
      <c r="C2" t="s">
        <v>64</v>
      </c>
      <c r="D2" t="s">
        <v>28</v>
      </c>
      <c r="E2" t="s">
        <v>65</v>
      </c>
      <c r="F2" t="s">
        <v>66</v>
      </c>
      <c r="G2" t="s">
        <v>67</v>
      </c>
      <c r="H2" t="s">
        <v>25</v>
      </c>
      <c r="I2" t="s">
        <v>68</v>
      </c>
      <c r="J2" t="s">
        <v>69</v>
      </c>
      <c r="K2" t="s">
        <v>70</v>
      </c>
      <c r="L2" t="s">
        <v>21</v>
      </c>
      <c r="M2" t="s">
        <v>46</v>
      </c>
      <c r="N2" t="s">
        <v>71</v>
      </c>
      <c r="O2">
        <v>17970</v>
      </c>
      <c r="P2">
        <v>17970</v>
      </c>
      <c r="Q2" t="str">
        <f t="shared" ref="Q2:Q65" si="0">IF(R2=0,"Received","Pending")</f>
        <v>Received</v>
      </c>
      <c r="R2">
        <f t="shared" ref="R2:R65" si="1">O2-P2</f>
        <v>0</v>
      </c>
    </row>
    <row r="3" spans="1:18">
      <c r="A3">
        <v>2</v>
      </c>
      <c r="B3" t="s">
        <v>72</v>
      </c>
      <c r="C3" t="s">
        <v>73</v>
      </c>
      <c r="D3" t="s">
        <v>30</v>
      </c>
      <c r="E3" t="s">
        <v>65</v>
      </c>
      <c r="F3" t="s">
        <v>74</v>
      </c>
      <c r="G3" t="s">
        <v>75</v>
      </c>
      <c r="H3" t="s">
        <v>25</v>
      </c>
      <c r="I3" t="s">
        <v>76</v>
      </c>
      <c r="J3" t="s">
        <v>69</v>
      </c>
      <c r="K3" t="s">
        <v>70</v>
      </c>
      <c r="L3" t="s">
        <v>21</v>
      </c>
      <c r="M3" t="s">
        <v>45</v>
      </c>
      <c r="N3" t="s">
        <v>77</v>
      </c>
      <c r="O3">
        <v>20208</v>
      </c>
      <c r="P3">
        <v>14770</v>
      </c>
      <c r="Q3" t="str">
        <f t="shared" si="0"/>
        <v>Pending</v>
      </c>
      <c r="R3">
        <f t="shared" si="1"/>
        <v>5438</v>
      </c>
    </row>
    <row r="4" spans="1:18">
      <c r="A4">
        <v>3</v>
      </c>
      <c r="B4" t="s">
        <v>78</v>
      </c>
      <c r="C4" t="s">
        <v>79</v>
      </c>
      <c r="D4" t="s">
        <v>23</v>
      </c>
      <c r="E4" t="s">
        <v>80</v>
      </c>
      <c r="F4" t="s">
        <v>66</v>
      </c>
      <c r="G4" t="s">
        <v>81</v>
      </c>
      <c r="H4" t="s">
        <v>19</v>
      </c>
      <c r="I4" t="s">
        <v>82</v>
      </c>
      <c r="J4" t="s">
        <v>83</v>
      </c>
      <c r="K4" t="s">
        <v>83</v>
      </c>
      <c r="L4" t="s">
        <v>24</v>
      </c>
      <c r="M4" t="s">
        <v>46</v>
      </c>
      <c r="N4" t="s">
        <v>84</v>
      </c>
      <c r="O4">
        <v>44966</v>
      </c>
      <c r="P4">
        <v>44966</v>
      </c>
      <c r="Q4" t="str">
        <f t="shared" si="0"/>
        <v>Received</v>
      </c>
      <c r="R4">
        <f t="shared" si="1"/>
        <v>0</v>
      </c>
    </row>
    <row r="5" spans="1:18">
      <c r="A5">
        <v>4</v>
      </c>
      <c r="B5" t="s">
        <v>85</v>
      </c>
      <c r="C5" t="s">
        <v>86</v>
      </c>
      <c r="D5" t="s">
        <v>32</v>
      </c>
      <c r="E5" t="s">
        <v>87</v>
      </c>
      <c r="F5" t="s">
        <v>88</v>
      </c>
      <c r="G5" t="s">
        <v>89</v>
      </c>
      <c r="H5" t="s">
        <v>19</v>
      </c>
      <c r="I5" t="s">
        <v>90</v>
      </c>
      <c r="J5" t="s">
        <v>83</v>
      </c>
      <c r="K5" t="s">
        <v>83</v>
      </c>
      <c r="L5" t="s">
        <v>24</v>
      </c>
      <c r="M5" t="s">
        <v>42</v>
      </c>
      <c r="N5" t="s">
        <v>71</v>
      </c>
      <c r="O5">
        <v>29515</v>
      </c>
      <c r="P5">
        <v>25252</v>
      </c>
      <c r="Q5" t="str">
        <f t="shared" si="0"/>
        <v>Pending</v>
      </c>
      <c r="R5">
        <f t="shared" si="1"/>
        <v>4263</v>
      </c>
    </row>
    <row r="6" spans="1:18">
      <c r="A6">
        <v>5</v>
      </c>
      <c r="B6" t="s">
        <v>91</v>
      </c>
      <c r="C6" t="s">
        <v>92</v>
      </c>
      <c r="D6" t="s">
        <v>30</v>
      </c>
      <c r="E6" t="s">
        <v>65</v>
      </c>
      <c r="F6" t="s">
        <v>66</v>
      </c>
      <c r="G6" t="s">
        <v>93</v>
      </c>
      <c r="H6" t="s">
        <v>22</v>
      </c>
      <c r="I6" t="s">
        <v>94</v>
      </c>
      <c r="J6" t="s">
        <v>95</v>
      </c>
      <c r="K6" t="s">
        <v>96</v>
      </c>
      <c r="L6" t="s">
        <v>21</v>
      </c>
      <c r="M6" t="s">
        <v>45</v>
      </c>
      <c r="N6" t="s">
        <v>77</v>
      </c>
      <c r="O6">
        <v>21821</v>
      </c>
      <c r="P6">
        <v>21821</v>
      </c>
      <c r="Q6" t="str">
        <f t="shared" si="0"/>
        <v>Received</v>
      </c>
      <c r="R6">
        <f t="shared" si="1"/>
        <v>0</v>
      </c>
    </row>
    <row r="7" spans="1:18">
      <c r="A7">
        <v>6</v>
      </c>
      <c r="B7" t="s">
        <v>97</v>
      </c>
      <c r="C7" t="s">
        <v>98</v>
      </c>
      <c r="D7" t="s">
        <v>30</v>
      </c>
      <c r="E7" t="s">
        <v>65</v>
      </c>
      <c r="F7" t="s">
        <v>99</v>
      </c>
      <c r="G7" t="s">
        <v>100</v>
      </c>
      <c r="H7" t="s">
        <v>27</v>
      </c>
      <c r="I7" t="s">
        <v>101</v>
      </c>
      <c r="J7" t="s">
        <v>95</v>
      </c>
      <c r="K7" t="s">
        <v>96</v>
      </c>
      <c r="L7" t="s">
        <v>21</v>
      </c>
      <c r="M7" t="s">
        <v>42</v>
      </c>
      <c r="N7" t="s">
        <v>77</v>
      </c>
      <c r="O7">
        <v>13274</v>
      </c>
      <c r="P7">
        <v>2232</v>
      </c>
      <c r="Q7" t="str">
        <f t="shared" si="0"/>
        <v>Pending</v>
      </c>
      <c r="R7">
        <f t="shared" si="1"/>
        <v>11042</v>
      </c>
    </row>
    <row r="8" spans="1:18">
      <c r="A8">
        <v>7</v>
      </c>
      <c r="B8" t="s">
        <v>102</v>
      </c>
      <c r="C8" t="s">
        <v>103</v>
      </c>
      <c r="D8" t="s">
        <v>23</v>
      </c>
      <c r="E8" t="s">
        <v>80</v>
      </c>
      <c r="F8" t="s">
        <v>99</v>
      </c>
      <c r="G8" t="s">
        <v>104</v>
      </c>
      <c r="H8" t="s">
        <v>29</v>
      </c>
      <c r="I8" t="s">
        <v>105</v>
      </c>
      <c r="J8" t="s">
        <v>83</v>
      </c>
      <c r="K8" t="s">
        <v>83</v>
      </c>
      <c r="L8" t="s">
        <v>24</v>
      </c>
      <c r="M8" t="s">
        <v>46</v>
      </c>
      <c r="N8" t="s">
        <v>84</v>
      </c>
      <c r="O8">
        <v>27129</v>
      </c>
      <c r="P8">
        <v>10244</v>
      </c>
      <c r="Q8" t="str">
        <f t="shared" si="0"/>
        <v>Pending</v>
      </c>
      <c r="R8">
        <f t="shared" si="1"/>
        <v>16885</v>
      </c>
    </row>
    <row r="9" spans="1:18">
      <c r="A9">
        <v>8</v>
      </c>
      <c r="B9" t="s">
        <v>106</v>
      </c>
      <c r="C9" t="s">
        <v>107</v>
      </c>
      <c r="D9" t="s">
        <v>30</v>
      </c>
      <c r="E9" t="s">
        <v>65</v>
      </c>
      <c r="F9" t="s">
        <v>88</v>
      </c>
      <c r="G9" t="s">
        <v>108</v>
      </c>
      <c r="H9" t="s">
        <v>25</v>
      </c>
      <c r="I9" t="s">
        <v>109</v>
      </c>
      <c r="J9" t="s">
        <v>110</v>
      </c>
      <c r="K9" t="s">
        <v>111</v>
      </c>
      <c r="L9" t="s">
        <v>18</v>
      </c>
      <c r="M9" t="s">
        <v>45</v>
      </c>
      <c r="N9" t="s">
        <v>84</v>
      </c>
      <c r="O9">
        <v>29384</v>
      </c>
      <c r="P9">
        <v>27675</v>
      </c>
      <c r="Q9" t="str">
        <f t="shared" si="0"/>
        <v>Pending</v>
      </c>
      <c r="R9">
        <f t="shared" si="1"/>
        <v>1709</v>
      </c>
    </row>
    <row r="10" spans="1:18">
      <c r="A10">
        <v>9</v>
      </c>
      <c r="B10" t="s">
        <v>112</v>
      </c>
      <c r="C10" t="s">
        <v>113</v>
      </c>
      <c r="D10" t="s">
        <v>32</v>
      </c>
      <c r="E10" t="s">
        <v>87</v>
      </c>
      <c r="F10" t="s">
        <v>88</v>
      </c>
      <c r="G10" t="s">
        <v>114</v>
      </c>
      <c r="H10" t="s">
        <v>29</v>
      </c>
      <c r="I10" t="s">
        <v>115</v>
      </c>
      <c r="J10" t="s">
        <v>83</v>
      </c>
      <c r="K10" t="s">
        <v>83</v>
      </c>
      <c r="L10" t="s">
        <v>24</v>
      </c>
      <c r="M10" t="s">
        <v>50</v>
      </c>
      <c r="N10" t="s">
        <v>84</v>
      </c>
      <c r="O10">
        <v>21574</v>
      </c>
      <c r="P10">
        <v>21574</v>
      </c>
      <c r="Q10" t="str">
        <f t="shared" si="0"/>
        <v>Received</v>
      </c>
      <c r="R10">
        <f t="shared" si="1"/>
        <v>0</v>
      </c>
    </row>
    <row r="11" spans="1:18">
      <c r="A11">
        <v>10</v>
      </c>
      <c r="B11" t="s">
        <v>116</v>
      </c>
      <c r="C11" t="s">
        <v>117</v>
      </c>
      <c r="D11" t="s">
        <v>30</v>
      </c>
      <c r="E11" t="s">
        <v>65</v>
      </c>
      <c r="F11" t="s">
        <v>118</v>
      </c>
      <c r="G11" t="s">
        <v>119</v>
      </c>
      <c r="H11" t="s">
        <v>25</v>
      </c>
      <c r="I11" t="s">
        <v>120</v>
      </c>
      <c r="J11" t="s">
        <v>95</v>
      </c>
      <c r="K11" t="s">
        <v>96</v>
      </c>
      <c r="L11" t="s">
        <v>21</v>
      </c>
      <c r="M11" t="s">
        <v>48</v>
      </c>
      <c r="N11" t="s">
        <v>71</v>
      </c>
      <c r="O11">
        <v>22093</v>
      </c>
      <c r="P11">
        <v>12127</v>
      </c>
      <c r="Q11" t="str">
        <f t="shared" si="0"/>
        <v>Pending</v>
      </c>
      <c r="R11">
        <f t="shared" si="1"/>
        <v>9966</v>
      </c>
    </row>
    <row r="12" spans="1:18">
      <c r="A12">
        <v>11</v>
      </c>
      <c r="B12" t="s">
        <v>121</v>
      </c>
      <c r="C12" t="s">
        <v>122</v>
      </c>
      <c r="D12" t="s">
        <v>26</v>
      </c>
      <c r="E12" t="s">
        <v>65</v>
      </c>
      <c r="F12" t="s">
        <v>88</v>
      </c>
      <c r="G12" t="s">
        <v>123</v>
      </c>
      <c r="H12" t="s">
        <v>27</v>
      </c>
      <c r="I12" t="s">
        <v>124</v>
      </c>
      <c r="J12" t="s">
        <v>125</v>
      </c>
      <c r="K12" t="s">
        <v>111</v>
      </c>
      <c r="L12" t="s">
        <v>18</v>
      </c>
      <c r="M12" t="s">
        <v>42</v>
      </c>
      <c r="N12" t="s">
        <v>84</v>
      </c>
      <c r="O12">
        <v>47783</v>
      </c>
      <c r="P12">
        <v>584</v>
      </c>
      <c r="Q12" t="str">
        <f t="shared" si="0"/>
        <v>Pending</v>
      </c>
      <c r="R12">
        <f t="shared" si="1"/>
        <v>47199</v>
      </c>
    </row>
    <row r="13" spans="1:18">
      <c r="A13">
        <v>12</v>
      </c>
      <c r="B13" t="s">
        <v>126</v>
      </c>
      <c r="C13" t="s">
        <v>127</v>
      </c>
      <c r="D13" t="s">
        <v>26</v>
      </c>
      <c r="E13" t="s">
        <v>65</v>
      </c>
      <c r="F13" t="s">
        <v>74</v>
      </c>
      <c r="G13" t="s">
        <v>128</v>
      </c>
      <c r="H13" t="s">
        <v>25</v>
      </c>
      <c r="I13" t="s">
        <v>129</v>
      </c>
      <c r="J13" t="s">
        <v>95</v>
      </c>
      <c r="K13" t="s">
        <v>96</v>
      </c>
      <c r="L13" t="s">
        <v>21</v>
      </c>
      <c r="M13" t="s">
        <v>42</v>
      </c>
      <c r="N13" t="s">
        <v>71</v>
      </c>
      <c r="O13">
        <v>6294</v>
      </c>
      <c r="P13">
        <v>6294</v>
      </c>
      <c r="Q13" t="str">
        <f t="shared" si="0"/>
        <v>Received</v>
      </c>
      <c r="R13">
        <f t="shared" si="1"/>
        <v>0</v>
      </c>
    </row>
    <row r="14" spans="1:18">
      <c r="A14">
        <v>13</v>
      </c>
      <c r="B14" t="s">
        <v>130</v>
      </c>
      <c r="C14" t="s">
        <v>131</v>
      </c>
      <c r="D14" t="s">
        <v>20</v>
      </c>
      <c r="E14" t="s">
        <v>80</v>
      </c>
      <c r="F14" t="s">
        <v>66</v>
      </c>
      <c r="G14" t="s">
        <v>132</v>
      </c>
      <c r="H14" t="s">
        <v>25</v>
      </c>
      <c r="I14" t="s">
        <v>133</v>
      </c>
      <c r="J14" t="s">
        <v>95</v>
      </c>
      <c r="K14" t="s">
        <v>96</v>
      </c>
      <c r="L14" t="s">
        <v>21</v>
      </c>
      <c r="M14" t="s">
        <v>42</v>
      </c>
      <c r="N14" t="s">
        <v>84</v>
      </c>
      <c r="O14">
        <v>48216</v>
      </c>
      <c r="P14">
        <v>35698</v>
      </c>
      <c r="Q14" t="str">
        <f t="shared" si="0"/>
        <v>Pending</v>
      </c>
      <c r="R14">
        <f t="shared" si="1"/>
        <v>12518</v>
      </c>
    </row>
    <row r="15" spans="1:18">
      <c r="A15">
        <v>14</v>
      </c>
      <c r="B15" t="s">
        <v>134</v>
      </c>
      <c r="C15" t="s">
        <v>135</v>
      </c>
      <c r="D15" t="s">
        <v>17</v>
      </c>
      <c r="E15" t="s">
        <v>80</v>
      </c>
      <c r="F15" t="s">
        <v>88</v>
      </c>
      <c r="G15" t="s">
        <v>136</v>
      </c>
      <c r="H15" t="s">
        <v>22</v>
      </c>
      <c r="I15" t="s">
        <v>137</v>
      </c>
      <c r="J15" t="s">
        <v>110</v>
      </c>
      <c r="K15" t="s">
        <v>111</v>
      </c>
      <c r="L15" t="s">
        <v>18</v>
      </c>
      <c r="M15" t="s">
        <v>42</v>
      </c>
      <c r="N15" t="s">
        <v>77</v>
      </c>
      <c r="O15">
        <v>44735</v>
      </c>
      <c r="P15">
        <v>13114</v>
      </c>
      <c r="Q15" t="str">
        <f t="shared" si="0"/>
        <v>Pending</v>
      </c>
      <c r="R15">
        <f t="shared" si="1"/>
        <v>31621</v>
      </c>
    </row>
    <row r="16" spans="1:18">
      <c r="A16">
        <v>15</v>
      </c>
      <c r="B16" t="s">
        <v>138</v>
      </c>
      <c r="C16" t="s">
        <v>139</v>
      </c>
      <c r="D16" t="s">
        <v>28</v>
      </c>
      <c r="E16" t="s">
        <v>65</v>
      </c>
      <c r="F16" t="s">
        <v>74</v>
      </c>
      <c r="G16" t="s">
        <v>140</v>
      </c>
      <c r="H16" t="s">
        <v>27</v>
      </c>
      <c r="I16" t="s">
        <v>141</v>
      </c>
      <c r="J16" t="s">
        <v>83</v>
      </c>
      <c r="K16" t="s">
        <v>83</v>
      </c>
      <c r="L16" t="s">
        <v>24</v>
      </c>
      <c r="M16" t="s">
        <v>45</v>
      </c>
      <c r="N16" t="s">
        <v>84</v>
      </c>
      <c r="O16">
        <v>46054</v>
      </c>
      <c r="P16">
        <v>32040</v>
      </c>
      <c r="Q16" t="str">
        <f t="shared" si="0"/>
        <v>Pending</v>
      </c>
      <c r="R16">
        <f t="shared" si="1"/>
        <v>14014</v>
      </c>
    </row>
    <row r="17" spans="1:18">
      <c r="A17">
        <v>16</v>
      </c>
      <c r="B17" t="s">
        <v>142</v>
      </c>
      <c r="C17" t="s">
        <v>143</v>
      </c>
      <c r="D17" t="s">
        <v>26</v>
      </c>
      <c r="E17" t="s">
        <v>65</v>
      </c>
      <c r="F17" t="s">
        <v>99</v>
      </c>
      <c r="G17" t="s">
        <v>144</v>
      </c>
      <c r="H17" t="s">
        <v>22</v>
      </c>
      <c r="I17" t="s">
        <v>145</v>
      </c>
      <c r="J17" t="s">
        <v>110</v>
      </c>
      <c r="K17" t="s">
        <v>111</v>
      </c>
      <c r="L17" t="s">
        <v>18</v>
      </c>
      <c r="M17" t="s">
        <v>42</v>
      </c>
      <c r="N17" t="s">
        <v>77</v>
      </c>
      <c r="O17">
        <v>31416</v>
      </c>
      <c r="P17">
        <v>5316</v>
      </c>
      <c r="Q17" t="str">
        <f t="shared" si="0"/>
        <v>Pending</v>
      </c>
      <c r="R17">
        <f t="shared" si="1"/>
        <v>26100</v>
      </c>
    </row>
    <row r="18" spans="1:18">
      <c r="A18">
        <v>17</v>
      </c>
      <c r="B18" t="s">
        <v>146</v>
      </c>
      <c r="C18" t="s">
        <v>147</v>
      </c>
      <c r="D18" t="s">
        <v>32</v>
      </c>
      <c r="E18" t="s">
        <v>87</v>
      </c>
      <c r="F18" t="s">
        <v>118</v>
      </c>
      <c r="G18" t="s">
        <v>148</v>
      </c>
      <c r="H18" t="s">
        <v>25</v>
      </c>
      <c r="I18" t="s">
        <v>149</v>
      </c>
      <c r="J18" t="s">
        <v>95</v>
      </c>
      <c r="K18" t="s">
        <v>96</v>
      </c>
      <c r="L18" t="s">
        <v>21</v>
      </c>
      <c r="M18" t="s">
        <v>48</v>
      </c>
      <c r="N18" t="s">
        <v>84</v>
      </c>
      <c r="O18">
        <v>39221</v>
      </c>
      <c r="P18">
        <v>11571</v>
      </c>
      <c r="Q18" t="str">
        <f t="shared" si="0"/>
        <v>Pending</v>
      </c>
      <c r="R18">
        <f t="shared" si="1"/>
        <v>27650</v>
      </c>
    </row>
    <row r="19" spans="1:18">
      <c r="A19">
        <v>18</v>
      </c>
      <c r="B19" t="s">
        <v>150</v>
      </c>
      <c r="C19" t="s">
        <v>151</v>
      </c>
      <c r="D19" t="s">
        <v>36</v>
      </c>
      <c r="E19" t="s">
        <v>152</v>
      </c>
      <c r="F19" t="s">
        <v>74</v>
      </c>
      <c r="G19" t="s">
        <v>153</v>
      </c>
      <c r="H19" t="s">
        <v>29</v>
      </c>
      <c r="I19" t="s">
        <v>154</v>
      </c>
      <c r="J19" t="s">
        <v>83</v>
      </c>
      <c r="K19" t="s">
        <v>83</v>
      </c>
      <c r="L19" t="s">
        <v>24</v>
      </c>
      <c r="M19" t="s">
        <v>42</v>
      </c>
      <c r="N19" t="s">
        <v>84</v>
      </c>
      <c r="O19">
        <v>32685</v>
      </c>
      <c r="P19">
        <v>17531</v>
      </c>
      <c r="Q19" t="str">
        <f t="shared" si="0"/>
        <v>Pending</v>
      </c>
      <c r="R19">
        <f t="shared" si="1"/>
        <v>15154</v>
      </c>
    </row>
    <row r="20" spans="1:18">
      <c r="A20">
        <v>19</v>
      </c>
      <c r="B20" t="s">
        <v>155</v>
      </c>
      <c r="C20" t="s">
        <v>156</v>
      </c>
      <c r="D20" t="s">
        <v>31</v>
      </c>
      <c r="E20" t="s">
        <v>87</v>
      </c>
      <c r="F20" t="s">
        <v>88</v>
      </c>
      <c r="G20" t="s">
        <v>157</v>
      </c>
      <c r="H20" t="s">
        <v>29</v>
      </c>
      <c r="I20" t="s">
        <v>158</v>
      </c>
      <c r="J20" t="s">
        <v>83</v>
      </c>
      <c r="K20" t="s">
        <v>83</v>
      </c>
      <c r="L20" t="s">
        <v>24</v>
      </c>
      <c r="M20" t="s">
        <v>50</v>
      </c>
      <c r="N20" t="s">
        <v>84</v>
      </c>
      <c r="O20">
        <v>7436</v>
      </c>
      <c r="P20">
        <v>5832</v>
      </c>
      <c r="Q20" t="str">
        <f t="shared" si="0"/>
        <v>Pending</v>
      </c>
      <c r="R20">
        <f t="shared" si="1"/>
        <v>1604</v>
      </c>
    </row>
    <row r="21" spans="1:18">
      <c r="A21">
        <v>20</v>
      </c>
      <c r="B21" t="s">
        <v>159</v>
      </c>
      <c r="C21" t="s">
        <v>160</v>
      </c>
      <c r="D21" t="s">
        <v>26</v>
      </c>
      <c r="E21" t="s">
        <v>65</v>
      </c>
      <c r="F21" t="s">
        <v>66</v>
      </c>
      <c r="G21" t="s">
        <v>161</v>
      </c>
      <c r="H21" t="s">
        <v>29</v>
      </c>
      <c r="I21" t="s">
        <v>162</v>
      </c>
      <c r="J21" t="s">
        <v>95</v>
      </c>
      <c r="K21" t="s">
        <v>96</v>
      </c>
      <c r="L21" t="s">
        <v>21</v>
      </c>
      <c r="M21" t="s">
        <v>50</v>
      </c>
      <c r="N21" t="s">
        <v>71</v>
      </c>
      <c r="O21">
        <v>9446</v>
      </c>
      <c r="P21">
        <v>7051</v>
      </c>
      <c r="Q21" t="str">
        <f t="shared" si="0"/>
        <v>Pending</v>
      </c>
      <c r="R21">
        <f t="shared" si="1"/>
        <v>2395</v>
      </c>
    </row>
    <row r="22" spans="1:18">
      <c r="A22">
        <v>21</v>
      </c>
      <c r="B22" t="s">
        <v>163</v>
      </c>
      <c r="C22" t="s">
        <v>164</v>
      </c>
      <c r="D22" t="s">
        <v>28</v>
      </c>
      <c r="E22" t="s">
        <v>65</v>
      </c>
      <c r="F22" t="s">
        <v>74</v>
      </c>
      <c r="G22" t="s">
        <v>165</v>
      </c>
      <c r="H22" t="s">
        <v>27</v>
      </c>
      <c r="I22" t="s">
        <v>166</v>
      </c>
      <c r="J22" t="s">
        <v>83</v>
      </c>
      <c r="K22" t="s">
        <v>83</v>
      </c>
      <c r="L22" t="s">
        <v>24</v>
      </c>
      <c r="M22" t="s">
        <v>48</v>
      </c>
      <c r="N22" t="s">
        <v>71</v>
      </c>
      <c r="O22">
        <v>44979</v>
      </c>
      <c r="P22">
        <v>44979</v>
      </c>
      <c r="Q22" t="str">
        <f t="shared" si="0"/>
        <v>Received</v>
      </c>
      <c r="R22">
        <f t="shared" si="1"/>
        <v>0</v>
      </c>
    </row>
    <row r="23" spans="1:18">
      <c r="A23">
        <v>22</v>
      </c>
      <c r="B23" t="s">
        <v>167</v>
      </c>
      <c r="C23" t="s">
        <v>168</v>
      </c>
      <c r="D23" t="s">
        <v>32</v>
      </c>
      <c r="E23" t="s">
        <v>87</v>
      </c>
      <c r="F23" t="s">
        <v>88</v>
      </c>
      <c r="G23" t="s">
        <v>169</v>
      </c>
      <c r="H23" t="s">
        <v>22</v>
      </c>
      <c r="I23" t="s">
        <v>170</v>
      </c>
      <c r="J23" t="s">
        <v>69</v>
      </c>
      <c r="K23" t="s">
        <v>70</v>
      </c>
      <c r="L23" t="s">
        <v>21</v>
      </c>
      <c r="M23" t="s">
        <v>42</v>
      </c>
      <c r="N23" t="s">
        <v>71</v>
      </c>
      <c r="O23">
        <v>42225</v>
      </c>
      <c r="P23">
        <v>32979</v>
      </c>
      <c r="Q23" t="str">
        <f t="shared" si="0"/>
        <v>Pending</v>
      </c>
      <c r="R23">
        <f t="shared" si="1"/>
        <v>9246</v>
      </c>
    </row>
    <row r="24" spans="1:18">
      <c r="A24">
        <v>23</v>
      </c>
      <c r="B24" t="s">
        <v>171</v>
      </c>
      <c r="C24" t="s">
        <v>172</v>
      </c>
      <c r="D24" t="s">
        <v>20</v>
      </c>
      <c r="E24" t="s">
        <v>80</v>
      </c>
      <c r="F24" t="s">
        <v>99</v>
      </c>
      <c r="G24" t="s">
        <v>173</v>
      </c>
      <c r="H24" t="s">
        <v>22</v>
      </c>
      <c r="I24" t="s">
        <v>174</v>
      </c>
      <c r="J24" t="s">
        <v>95</v>
      </c>
      <c r="K24" t="s">
        <v>96</v>
      </c>
      <c r="L24" t="s">
        <v>21</v>
      </c>
      <c r="M24" t="s">
        <v>42</v>
      </c>
      <c r="N24" t="s">
        <v>77</v>
      </c>
      <c r="O24">
        <v>13229</v>
      </c>
      <c r="P24">
        <v>13229</v>
      </c>
      <c r="Q24" t="str">
        <f t="shared" si="0"/>
        <v>Received</v>
      </c>
      <c r="R24">
        <f t="shared" si="1"/>
        <v>0</v>
      </c>
    </row>
    <row r="25" spans="1:18">
      <c r="A25">
        <v>24</v>
      </c>
      <c r="B25" t="s">
        <v>175</v>
      </c>
      <c r="C25" t="s">
        <v>176</v>
      </c>
      <c r="D25" t="s">
        <v>31</v>
      </c>
      <c r="E25" t="s">
        <v>87</v>
      </c>
      <c r="F25" t="s">
        <v>74</v>
      </c>
      <c r="G25" t="s">
        <v>177</v>
      </c>
      <c r="H25" t="s">
        <v>25</v>
      </c>
      <c r="I25" t="s">
        <v>178</v>
      </c>
      <c r="J25" t="s">
        <v>110</v>
      </c>
      <c r="K25" t="s">
        <v>111</v>
      </c>
      <c r="L25" t="s">
        <v>18</v>
      </c>
      <c r="M25" t="s">
        <v>42</v>
      </c>
      <c r="N25" t="s">
        <v>84</v>
      </c>
      <c r="O25">
        <v>48990</v>
      </c>
      <c r="P25">
        <v>38338</v>
      </c>
      <c r="Q25" t="str">
        <f t="shared" si="0"/>
        <v>Pending</v>
      </c>
      <c r="R25">
        <f t="shared" si="1"/>
        <v>10652</v>
      </c>
    </row>
    <row r="26" spans="1:18">
      <c r="A26">
        <v>25</v>
      </c>
      <c r="B26" t="s">
        <v>179</v>
      </c>
      <c r="C26" t="s">
        <v>180</v>
      </c>
      <c r="D26" t="s">
        <v>30</v>
      </c>
      <c r="E26" t="s">
        <v>65</v>
      </c>
      <c r="F26" t="s">
        <v>118</v>
      </c>
      <c r="G26" t="s">
        <v>181</v>
      </c>
      <c r="H26" t="s">
        <v>27</v>
      </c>
      <c r="I26" t="s">
        <v>182</v>
      </c>
      <c r="J26" t="s">
        <v>125</v>
      </c>
      <c r="K26" t="s">
        <v>111</v>
      </c>
      <c r="L26" t="s">
        <v>18</v>
      </c>
      <c r="M26" t="s">
        <v>42</v>
      </c>
      <c r="N26" t="s">
        <v>71</v>
      </c>
      <c r="O26">
        <v>6618</v>
      </c>
      <c r="P26">
        <v>6618</v>
      </c>
      <c r="Q26" t="str">
        <f t="shared" si="0"/>
        <v>Received</v>
      </c>
      <c r="R26">
        <f t="shared" si="1"/>
        <v>0</v>
      </c>
    </row>
    <row r="27" spans="1:18">
      <c r="A27">
        <v>26</v>
      </c>
      <c r="B27" t="s">
        <v>183</v>
      </c>
      <c r="C27" t="s">
        <v>184</v>
      </c>
      <c r="D27" t="s">
        <v>43</v>
      </c>
      <c r="E27" t="s">
        <v>152</v>
      </c>
      <c r="F27" t="s">
        <v>99</v>
      </c>
      <c r="G27" t="s">
        <v>185</v>
      </c>
      <c r="H27" t="s">
        <v>27</v>
      </c>
      <c r="I27" t="s">
        <v>186</v>
      </c>
      <c r="J27" t="s">
        <v>83</v>
      </c>
      <c r="K27" t="s">
        <v>83</v>
      </c>
      <c r="L27" t="s">
        <v>24</v>
      </c>
      <c r="M27" t="s">
        <v>42</v>
      </c>
      <c r="N27" t="s">
        <v>84</v>
      </c>
      <c r="O27">
        <v>7651</v>
      </c>
      <c r="P27">
        <v>7651</v>
      </c>
      <c r="Q27" t="str">
        <f t="shared" si="0"/>
        <v>Received</v>
      </c>
      <c r="R27">
        <f t="shared" si="1"/>
        <v>0</v>
      </c>
    </row>
    <row r="28" spans="1:18">
      <c r="A28">
        <v>27</v>
      </c>
      <c r="B28" t="s">
        <v>187</v>
      </c>
      <c r="C28" t="s">
        <v>188</v>
      </c>
      <c r="D28" t="s">
        <v>36</v>
      </c>
      <c r="E28" t="s">
        <v>152</v>
      </c>
      <c r="F28" t="s">
        <v>118</v>
      </c>
      <c r="G28" t="s">
        <v>189</v>
      </c>
      <c r="H28" t="s">
        <v>29</v>
      </c>
      <c r="I28" t="s">
        <v>190</v>
      </c>
      <c r="J28" t="s">
        <v>95</v>
      </c>
      <c r="K28" t="s">
        <v>96</v>
      </c>
      <c r="L28" t="s">
        <v>21</v>
      </c>
      <c r="M28" t="s">
        <v>45</v>
      </c>
      <c r="N28" t="s">
        <v>84</v>
      </c>
      <c r="O28">
        <v>42300</v>
      </c>
      <c r="P28">
        <v>42300</v>
      </c>
      <c r="Q28" t="str">
        <f t="shared" si="0"/>
        <v>Received</v>
      </c>
      <c r="R28">
        <f t="shared" si="1"/>
        <v>0</v>
      </c>
    </row>
    <row r="29" spans="1:18">
      <c r="A29">
        <v>28</v>
      </c>
      <c r="B29" t="s">
        <v>191</v>
      </c>
      <c r="C29" t="s">
        <v>192</v>
      </c>
      <c r="D29" t="s">
        <v>26</v>
      </c>
      <c r="E29" t="s">
        <v>65</v>
      </c>
      <c r="F29" t="s">
        <v>118</v>
      </c>
      <c r="G29" t="s">
        <v>193</v>
      </c>
      <c r="H29" t="s">
        <v>25</v>
      </c>
      <c r="I29" t="s">
        <v>194</v>
      </c>
      <c r="J29" t="s">
        <v>125</v>
      </c>
      <c r="K29" t="s">
        <v>111</v>
      </c>
      <c r="L29" t="s">
        <v>18</v>
      </c>
      <c r="M29" t="s">
        <v>50</v>
      </c>
      <c r="N29" t="s">
        <v>77</v>
      </c>
      <c r="O29">
        <v>46886</v>
      </c>
      <c r="P29">
        <v>46886</v>
      </c>
      <c r="Q29" t="str">
        <f t="shared" si="0"/>
        <v>Received</v>
      </c>
      <c r="R29">
        <f t="shared" si="1"/>
        <v>0</v>
      </c>
    </row>
    <row r="30" spans="1:18">
      <c r="A30">
        <v>29</v>
      </c>
      <c r="B30" t="s">
        <v>195</v>
      </c>
      <c r="C30" t="s">
        <v>196</v>
      </c>
      <c r="D30" t="s">
        <v>32</v>
      </c>
      <c r="E30" t="s">
        <v>87</v>
      </c>
      <c r="F30" t="s">
        <v>118</v>
      </c>
      <c r="G30" t="s">
        <v>197</v>
      </c>
      <c r="H30" t="s">
        <v>19</v>
      </c>
      <c r="I30" t="s">
        <v>101</v>
      </c>
      <c r="J30" t="s">
        <v>125</v>
      </c>
      <c r="K30" t="s">
        <v>111</v>
      </c>
      <c r="L30" t="s">
        <v>18</v>
      </c>
      <c r="M30" t="s">
        <v>48</v>
      </c>
      <c r="N30" t="s">
        <v>77</v>
      </c>
      <c r="O30">
        <v>44884</v>
      </c>
      <c r="P30">
        <v>44884</v>
      </c>
      <c r="Q30" t="str">
        <f t="shared" si="0"/>
        <v>Received</v>
      </c>
      <c r="R30">
        <f t="shared" si="1"/>
        <v>0</v>
      </c>
    </row>
    <row r="31" spans="1:18">
      <c r="A31">
        <v>30</v>
      </c>
      <c r="B31" t="s">
        <v>198</v>
      </c>
      <c r="C31" t="s">
        <v>199</v>
      </c>
      <c r="D31" t="s">
        <v>17</v>
      </c>
      <c r="E31" t="s">
        <v>80</v>
      </c>
      <c r="F31" t="s">
        <v>118</v>
      </c>
      <c r="G31" t="s">
        <v>200</v>
      </c>
      <c r="H31" t="s">
        <v>29</v>
      </c>
      <c r="I31" t="s">
        <v>90</v>
      </c>
      <c r="J31" t="s">
        <v>125</v>
      </c>
      <c r="K31" t="s">
        <v>111</v>
      </c>
      <c r="L31" t="s">
        <v>18</v>
      </c>
      <c r="M31" t="s">
        <v>50</v>
      </c>
      <c r="N31" t="s">
        <v>77</v>
      </c>
      <c r="O31">
        <v>11330</v>
      </c>
      <c r="P31">
        <v>9319</v>
      </c>
      <c r="Q31" t="str">
        <f t="shared" si="0"/>
        <v>Pending</v>
      </c>
      <c r="R31">
        <f t="shared" si="1"/>
        <v>2011</v>
      </c>
    </row>
    <row r="32" spans="1:18">
      <c r="A32">
        <v>31</v>
      </c>
      <c r="B32" t="s">
        <v>201</v>
      </c>
      <c r="C32" t="s">
        <v>202</v>
      </c>
      <c r="D32" t="s">
        <v>17</v>
      </c>
      <c r="E32" t="s">
        <v>80</v>
      </c>
      <c r="F32" t="s">
        <v>66</v>
      </c>
      <c r="G32" t="s">
        <v>203</v>
      </c>
      <c r="H32" t="s">
        <v>25</v>
      </c>
      <c r="I32" t="s">
        <v>204</v>
      </c>
      <c r="J32" t="s">
        <v>95</v>
      </c>
      <c r="K32" t="s">
        <v>96</v>
      </c>
      <c r="L32" t="s">
        <v>21</v>
      </c>
      <c r="M32" t="s">
        <v>45</v>
      </c>
      <c r="N32" t="s">
        <v>77</v>
      </c>
      <c r="O32">
        <v>46570</v>
      </c>
      <c r="P32">
        <v>35528</v>
      </c>
      <c r="Q32" t="str">
        <f t="shared" si="0"/>
        <v>Pending</v>
      </c>
      <c r="R32">
        <f t="shared" si="1"/>
        <v>11042</v>
      </c>
    </row>
    <row r="33" spans="1:18">
      <c r="A33">
        <v>32</v>
      </c>
      <c r="B33" t="s">
        <v>205</v>
      </c>
      <c r="C33" t="s">
        <v>206</v>
      </c>
      <c r="D33" t="s">
        <v>40</v>
      </c>
      <c r="E33" t="s">
        <v>152</v>
      </c>
      <c r="F33" t="s">
        <v>88</v>
      </c>
      <c r="G33" t="s">
        <v>207</v>
      </c>
      <c r="H33" t="s">
        <v>29</v>
      </c>
      <c r="I33" t="s">
        <v>208</v>
      </c>
      <c r="J33" t="s">
        <v>125</v>
      </c>
      <c r="K33" t="s">
        <v>111</v>
      </c>
      <c r="L33" t="s">
        <v>18</v>
      </c>
      <c r="M33" t="s">
        <v>48</v>
      </c>
      <c r="N33" t="s">
        <v>77</v>
      </c>
      <c r="O33">
        <v>13734</v>
      </c>
      <c r="P33">
        <v>1241</v>
      </c>
      <c r="Q33" t="str">
        <f t="shared" si="0"/>
        <v>Pending</v>
      </c>
      <c r="R33">
        <f t="shared" si="1"/>
        <v>12493</v>
      </c>
    </row>
    <row r="34" spans="1:18">
      <c r="A34">
        <v>33</v>
      </c>
      <c r="B34" t="s">
        <v>209</v>
      </c>
      <c r="C34" t="s">
        <v>210</v>
      </c>
      <c r="D34" t="s">
        <v>31</v>
      </c>
      <c r="E34" t="s">
        <v>87</v>
      </c>
      <c r="F34" t="s">
        <v>118</v>
      </c>
      <c r="G34" t="s">
        <v>211</v>
      </c>
      <c r="H34" t="s">
        <v>27</v>
      </c>
      <c r="I34" t="s">
        <v>212</v>
      </c>
      <c r="J34" t="s">
        <v>69</v>
      </c>
      <c r="K34" t="s">
        <v>70</v>
      </c>
      <c r="L34" t="s">
        <v>21</v>
      </c>
      <c r="M34" t="s">
        <v>46</v>
      </c>
      <c r="N34" t="s">
        <v>84</v>
      </c>
      <c r="O34">
        <v>5078</v>
      </c>
      <c r="P34">
        <v>4152</v>
      </c>
      <c r="Q34" t="str">
        <f t="shared" si="0"/>
        <v>Pending</v>
      </c>
      <c r="R34">
        <f t="shared" si="1"/>
        <v>926</v>
      </c>
    </row>
    <row r="35" spans="1:18">
      <c r="A35">
        <v>34</v>
      </c>
      <c r="B35" t="s">
        <v>213</v>
      </c>
      <c r="C35" t="s">
        <v>214</v>
      </c>
      <c r="D35" t="s">
        <v>28</v>
      </c>
      <c r="E35" t="s">
        <v>65</v>
      </c>
      <c r="F35" t="s">
        <v>74</v>
      </c>
      <c r="G35" t="s">
        <v>215</v>
      </c>
      <c r="H35" t="s">
        <v>29</v>
      </c>
      <c r="I35" t="s">
        <v>216</v>
      </c>
      <c r="J35" t="s">
        <v>83</v>
      </c>
      <c r="K35" t="s">
        <v>83</v>
      </c>
      <c r="L35" t="s">
        <v>24</v>
      </c>
      <c r="M35" t="s">
        <v>45</v>
      </c>
      <c r="N35" t="s">
        <v>77</v>
      </c>
      <c r="O35">
        <v>49604</v>
      </c>
      <c r="P35">
        <v>15979</v>
      </c>
      <c r="Q35" t="str">
        <f t="shared" si="0"/>
        <v>Pending</v>
      </c>
      <c r="R35">
        <f t="shared" si="1"/>
        <v>33625</v>
      </c>
    </row>
    <row r="36" spans="1:18">
      <c r="A36">
        <v>35</v>
      </c>
      <c r="B36" t="s">
        <v>217</v>
      </c>
      <c r="C36" t="s">
        <v>218</v>
      </c>
      <c r="D36" t="s">
        <v>20</v>
      </c>
      <c r="E36" t="s">
        <v>80</v>
      </c>
      <c r="F36" t="s">
        <v>118</v>
      </c>
      <c r="G36" t="s">
        <v>219</v>
      </c>
      <c r="H36" t="s">
        <v>19</v>
      </c>
      <c r="I36" t="s">
        <v>101</v>
      </c>
      <c r="J36" t="s">
        <v>110</v>
      </c>
      <c r="K36" t="s">
        <v>111</v>
      </c>
      <c r="L36" t="s">
        <v>18</v>
      </c>
      <c r="M36" t="s">
        <v>48</v>
      </c>
      <c r="N36" t="s">
        <v>71</v>
      </c>
      <c r="O36">
        <v>48398</v>
      </c>
      <c r="P36">
        <v>42373</v>
      </c>
      <c r="Q36" t="str">
        <f t="shared" si="0"/>
        <v>Pending</v>
      </c>
      <c r="R36">
        <f t="shared" si="1"/>
        <v>6025</v>
      </c>
    </row>
    <row r="37" spans="1:18">
      <c r="A37">
        <v>36</v>
      </c>
      <c r="B37" t="s">
        <v>220</v>
      </c>
      <c r="C37" t="s">
        <v>221</v>
      </c>
      <c r="D37" t="s">
        <v>32</v>
      </c>
      <c r="E37" t="s">
        <v>87</v>
      </c>
      <c r="F37" t="s">
        <v>118</v>
      </c>
      <c r="G37" t="s">
        <v>222</v>
      </c>
      <c r="H37" t="s">
        <v>29</v>
      </c>
      <c r="I37" t="s">
        <v>223</v>
      </c>
      <c r="J37" t="s">
        <v>125</v>
      </c>
      <c r="K37" t="s">
        <v>111</v>
      </c>
      <c r="L37" t="s">
        <v>18</v>
      </c>
      <c r="M37" t="s">
        <v>48</v>
      </c>
      <c r="N37" t="s">
        <v>84</v>
      </c>
      <c r="O37">
        <v>15696</v>
      </c>
      <c r="P37">
        <v>1104</v>
      </c>
      <c r="Q37" t="str">
        <f t="shared" si="0"/>
        <v>Pending</v>
      </c>
      <c r="R37">
        <f t="shared" si="1"/>
        <v>14592</v>
      </c>
    </row>
    <row r="38" spans="1:18">
      <c r="A38">
        <v>37</v>
      </c>
      <c r="B38" t="s">
        <v>224</v>
      </c>
      <c r="C38" t="s">
        <v>225</v>
      </c>
      <c r="D38" t="s">
        <v>26</v>
      </c>
      <c r="E38" t="s">
        <v>65</v>
      </c>
      <c r="F38" t="s">
        <v>118</v>
      </c>
      <c r="G38" t="s">
        <v>226</v>
      </c>
      <c r="H38" t="s">
        <v>19</v>
      </c>
      <c r="I38" t="s">
        <v>227</v>
      </c>
      <c r="J38" t="s">
        <v>110</v>
      </c>
      <c r="K38" t="s">
        <v>111</v>
      </c>
      <c r="L38" t="s">
        <v>18</v>
      </c>
      <c r="M38" t="s">
        <v>45</v>
      </c>
      <c r="N38" t="s">
        <v>71</v>
      </c>
      <c r="O38">
        <v>40883</v>
      </c>
      <c r="P38">
        <v>36977</v>
      </c>
      <c r="Q38" t="str">
        <f t="shared" si="0"/>
        <v>Pending</v>
      </c>
      <c r="R38">
        <f t="shared" si="1"/>
        <v>3906</v>
      </c>
    </row>
    <row r="39" spans="1:18">
      <c r="A39">
        <v>38</v>
      </c>
      <c r="B39" t="s">
        <v>228</v>
      </c>
      <c r="C39" t="s">
        <v>229</v>
      </c>
      <c r="D39" t="s">
        <v>23</v>
      </c>
      <c r="E39" t="s">
        <v>80</v>
      </c>
      <c r="F39" t="s">
        <v>118</v>
      </c>
      <c r="G39" t="s">
        <v>230</v>
      </c>
      <c r="H39" t="s">
        <v>19</v>
      </c>
      <c r="I39" t="s">
        <v>227</v>
      </c>
      <c r="J39" t="s">
        <v>125</v>
      </c>
      <c r="K39" t="s">
        <v>111</v>
      </c>
      <c r="L39" t="s">
        <v>18</v>
      </c>
      <c r="M39" t="s">
        <v>46</v>
      </c>
      <c r="N39" t="s">
        <v>77</v>
      </c>
      <c r="O39">
        <v>33010</v>
      </c>
      <c r="P39">
        <v>29780</v>
      </c>
      <c r="Q39" t="str">
        <f t="shared" si="0"/>
        <v>Pending</v>
      </c>
      <c r="R39">
        <f t="shared" si="1"/>
        <v>3230</v>
      </c>
    </row>
    <row r="40" spans="1:18">
      <c r="A40">
        <v>39</v>
      </c>
      <c r="B40" t="s">
        <v>231</v>
      </c>
      <c r="C40" t="s">
        <v>232</v>
      </c>
      <c r="D40" t="s">
        <v>31</v>
      </c>
      <c r="E40" t="s">
        <v>87</v>
      </c>
      <c r="F40" t="s">
        <v>88</v>
      </c>
      <c r="G40" t="s">
        <v>233</v>
      </c>
      <c r="H40" t="s">
        <v>22</v>
      </c>
      <c r="I40" t="s">
        <v>234</v>
      </c>
      <c r="J40" t="s">
        <v>83</v>
      </c>
      <c r="K40" t="s">
        <v>83</v>
      </c>
      <c r="L40" t="s">
        <v>24</v>
      </c>
      <c r="M40" t="s">
        <v>45</v>
      </c>
      <c r="N40" t="s">
        <v>77</v>
      </c>
      <c r="O40">
        <v>9558</v>
      </c>
      <c r="P40">
        <v>9268</v>
      </c>
      <c r="Q40" t="str">
        <f t="shared" si="0"/>
        <v>Pending</v>
      </c>
      <c r="R40">
        <f t="shared" si="1"/>
        <v>290</v>
      </c>
    </row>
    <row r="41" spans="1:18">
      <c r="A41">
        <v>40</v>
      </c>
      <c r="B41" t="s">
        <v>235</v>
      </c>
      <c r="C41" t="s">
        <v>236</v>
      </c>
      <c r="D41" t="s">
        <v>31</v>
      </c>
      <c r="E41" t="s">
        <v>87</v>
      </c>
      <c r="F41" t="s">
        <v>88</v>
      </c>
      <c r="G41" t="s">
        <v>237</v>
      </c>
      <c r="H41" t="s">
        <v>19</v>
      </c>
      <c r="I41" t="s">
        <v>238</v>
      </c>
      <c r="J41" t="s">
        <v>83</v>
      </c>
      <c r="K41" t="s">
        <v>83</v>
      </c>
      <c r="L41" t="s">
        <v>24</v>
      </c>
      <c r="M41" t="s">
        <v>42</v>
      </c>
      <c r="N41" t="s">
        <v>77</v>
      </c>
      <c r="O41">
        <v>49423</v>
      </c>
      <c r="P41">
        <v>28592</v>
      </c>
      <c r="Q41" t="str">
        <f t="shared" si="0"/>
        <v>Pending</v>
      </c>
      <c r="R41">
        <f t="shared" si="1"/>
        <v>20831</v>
      </c>
    </row>
    <row r="42" spans="1:18">
      <c r="A42">
        <v>41</v>
      </c>
      <c r="B42" t="s">
        <v>239</v>
      </c>
      <c r="C42" t="s">
        <v>240</v>
      </c>
      <c r="D42" t="s">
        <v>23</v>
      </c>
      <c r="E42" t="s">
        <v>80</v>
      </c>
      <c r="F42" t="s">
        <v>74</v>
      </c>
      <c r="G42" t="s">
        <v>241</v>
      </c>
      <c r="H42" t="s">
        <v>25</v>
      </c>
      <c r="I42" t="s">
        <v>242</v>
      </c>
      <c r="J42" t="s">
        <v>110</v>
      </c>
      <c r="K42" t="s">
        <v>111</v>
      </c>
      <c r="L42" t="s">
        <v>18</v>
      </c>
      <c r="M42" t="s">
        <v>50</v>
      </c>
      <c r="N42" t="s">
        <v>71</v>
      </c>
      <c r="O42">
        <v>11557</v>
      </c>
      <c r="P42">
        <v>1613</v>
      </c>
      <c r="Q42" t="str">
        <f t="shared" si="0"/>
        <v>Pending</v>
      </c>
      <c r="R42">
        <f t="shared" si="1"/>
        <v>9944</v>
      </c>
    </row>
    <row r="43" spans="1:18">
      <c r="A43">
        <v>42</v>
      </c>
      <c r="B43" t="s">
        <v>243</v>
      </c>
      <c r="C43" t="s">
        <v>244</v>
      </c>
      <c r="D43" t="s">
        <v>26</v>
      </c>
      <c r="E43" t="s">
        <v>65</v>
      </c>
      <c r="F43" t="s">
        <v>88</v>
      </c>
      <c r="G43" t="s">
        <v>245</v>
      </c>
      <c r="H43" t="s">
        <v>27</v>
      </c>
      <c r="I43" t="s">
        <v>246</v>
      </c>
      <c r="J43" t="s">
        <v>110</v>
      </c>
      <c r="K43" t="s">
        <v>111</v>
      </c>
      <c r="L43" t="s">
        <v>18</v>
      </c>
      <c r="M43" t="s">
        <v>50</v>
      </c>
      <c r="N43" t="s">
        <v>84</v>
      </c>
      <c r="O43">
        <v>49283</v>
      </c>
      <c r="P43">
        <v>19649</v>
      </c>
      <c r="Q43" t="str">
        <f t="shared" si="0"/>
        <v>Pending</v>
      </c>
      <c r="R43">
        <f t="shared" si="1"/>
        <v>29634</v>
      </c>
    </row>
    <row r="44" spans="1:18">
      <c r="A44">
        <v>43</v>
      </c>
      <c r="B44" t="s">
        <v>247</v>
      </c>
      <c r="C44" t="s">
        <v>248</v>
      </c>
      <c r="D44" t="s">
        <v>31</v>
      </c>
      <c r="E44" t="s">
        <v>87</v>
      </c>
      <c r="F44" t="s">
        <v>88</v>
      </c>
      <c r="G44" t="s">
        <v>249</v>
      </c>
      <c r="H44" t="s">
        <v>19</v>
      </c>
      <c r="I44" t="s">
        <v>90</v>
      </c>
      <c r="J44" t="s">
        <v>69</v>
      </c>
      <c r="K44" t="s">
        <v>70</v>
      </c>
      <c r="L44" t="s">
        <v>21</v>
      </c>
      <c r="M44" t="s">
        <v>42</v>
      </c>
      <c r="N44" t="s">
        <v>84</v>
      </c>
      <c r="O44">
        <v>5622</v>
      </c>
      <c r="P44">
        <v>3016</v>
      </c>
      <c r="Q44" t="str">
        <f t="shared" si="0"/>
        <v>Pending</v>
      </c>
      <c r="R44">
        <f t="shared" si="1"/>
        <v>2606</v>
      </c>
    </row>
    <row r="45" spans="1:18">
      <c r="A45">
        <v>44</v>
      </c>
      <c r="B45" t="s">
        <v>250</v>
      </c>
      <c r="C45" t="s">
        <v>251</v>
      </c>
      <c r="D45" t="s">
        <v>26</v>
      </c>
      <c r="E45" t="s">
        <v>65</v>
      </c>
      <c r="F45" t="s">
        <v>118</v>
      </c>
      <c r="G45" t="s">
        <v>252</v>
      </c>
      <c r="H45" t="s">
        <v>22</v>
      </c>
      <c r="I45" t="s">
        <v>253</v>
      </c>
      <c r="J45" t="s">
        <v>83</v>
      </c>
      <c r="K45" t="s">
        <v>83</v>
      </c>
      <c r="L45" t="s">
        <v>24</v>
      </c>
      <c r="M45" t="s">
        <v>42</v>
      </c>
      <c r="N45" t="s">
        <v>84</v>
      </c>
      <c r="O45">
        <v>23012</v>
      </c>
      <c r="P45">
        <v>6412</v>
      </c>
      <c r="Q45" t="str">
        <f t="shared" si="0"/>
        <v>Pending</v>
      </c>
      <c r="R45">
        <f t="shared" si="1"/>
        <v>16600</v>
      </c>
    </row>
    <row r="46" spans="1:18">
      <c r="A46">
        <v>45</v>
      </c>
      <c r="B46" t="s">
        <v>254</v>
      </c>
      <c r="C46" t="s">
        <v>255</v>
      </c>
      <c r="D46" t="s">
        <v>31</v>
      </c>
      <c r="E46" t="s">
        <v>87</v>
      </c>
      <c r="F46" t="s">
        <v>118</v>
      </c>
      <c r="G46" t="s">
        <v>256</v>
      </c>
      <c r="H46" t="s">
        <v>25</v>
      </c>
      <c r="I46" t="s">
        <v>129</v>
      </c>
      <c r="J46" t="s">
        <v>125</v>
      </c>
      <c r="K46" t="s">
        <v>111</v>
      </c>
      <c r="L46" t="s">
        <v>18</v>
      </c>
      <c r="M46" t="s">
        <v>45</v>
      </c>
      <c r="N46" t="s">
        <v>84</v>
      </c>
      <c r="O46">
        <v>32091</v>
      </c>
      <c r="P46">
        <v>14981</v>
      </c>
      <c r="Q46" t="str">
        <f t="shared" si="0"/>
        <v>Pending</v>
      </c>
      <c r="R46">
        <f t="shared" si="1"/>
        <v>17110</v>
      </c>
    </row>
    <row r="47" spans="1:18">
      <c r="A47">
        <v>46</v>
      </c>
      <c r="B47" t="s">
        <v>257</v>
      </c>
      <c r="C47" t="s">
        <v>258</v>
      </c>
      <c r="D47" t="s">
        <v>26</v>
      </c>
      <c r="E47" t="s">
        <v>65</v>
      </c>
      <c r="F47" t="s">
        <v>99</v>
      </c>
      <c r="G47" t="s">
        <v>259</v>
      </c>
      <c r="H47" t="s">
        <v>29</v>
      </c>
      <c r="I47" t="s">
        <v>137</v>
      </c>
      <c r="J47" t="s">
        <v>95</v>
      </c>
      <c r="K47" t="s">
        <v>96</v>
      </c>
      <c r="L47" t="s">
        <v>21</v>
      </c>
      <c r="M47" t="s">
        <v>46</v>
      </c>
      <c r="N47" t="s">
        <v>71</v>
      </c>
      <c r="O47">
        <v>19546</v>
      </c>
      <c r="P47">
        <v>17317</v>
      </c>
      <c r="Q47" t="str">
        <f t="shared" si="0"/>
        <v>Pending</v>
      </c>
      <c r="R47">
        <f t="shared" si="1"/>
        <v>2229</v>
      </c>
    </row>
    <row r="48" spans="1:18">
      <c r="A48">
        <v>47</v>
      </c>
      <c r="B48" t="s">
        <v>260</v>
      </c>
      <c r="C48" t="s">
        <v>261</v>
      </c>
      <c r="D48" t="s">
        <v>36</v>
      </c>
      <c r="E48" t="s">
        <v>152</v>
      </c>
      <c r="F48" t="s">
        <v>74</v>
      </c>
      <c r="G48" t="s">
        <v>262</v>
      </c>
      <c r="H48" t="s">
        <v>29</v>
      </c>
      <c r="I48" t="s">
        <v>263</v>
      </c>
      <c r="J48" t="s">
        <v>83</v>
      </c>
      <c r="K48" t="s">
        <v>83</v>
      </c>
      <c r="L48" t="s">
        <v>24</v>
      </c>
      <c r="M48" t="s">
        <v>42</v>
      </c>
      <c r="N48" t="s">
        <v>77</v>
      </c>
      <c r="O48">
        <v>32309</v>
      </c>
      <c r="P48">
        <v>17685</v>
      </c>
      <c r="Q48" t="str">
        <f t="shared" si="0"/>
        <v>Pending</v>
      </c>
      <c r="R48">
        <f t="shared" si="1"/>
        <v>14624</v>
      </c>
    </row>
    <row r="49" spans="1:18">
      <c r="A49">
        <v>48</v>
      </c>
      <c r="B49" t="s">
        <v>264</v>
      </c>
      <c r="C49" t="s">
        <v>265</v>
      </c>
      <c r="D49" t="s">
        <v>28</v>
      </c>
      <c r="E49" t="s">
        <v>65</v>
      </c>
      <c r="F49" t="s">
        <v>99</v>
      </c>
      <c r="G49" t="s">
        <v>266</v>
      </c>
      <c r="H49" t="s">
        <v>22</v>
      </c>
      <c r="I49" t="s">
        <v>267</v>
      </c>
      <c r="J49" t="s">
        <v>95</v>
      </c>
      <c r="K49" t="s">
        <v>96</v>
      </c>
      <c r="L49" t="s">
        <v>21</v>
      </c>
      <c r="M49" t="s">
        <v>45</v>
      </c>
      <c r="N49" t="s">
        <v>77</v>
      </c>
      <c r="O49">
        <v>43019</v>
      </c>
      <c r="P49">
        <v>35612</v>
      </c>
      <c r="Q49" t="str">
        <f t="shared" si="0"/>
        <v>Pending</v>
      </c>
      <c r="R49">
        <f t="shared" si="1"/>
        <v>7407</v>
      </c>
    </row>
    <row r="50" spans="1:18">
      <c r="A50">
        <v>49</v>
      </c>
      <c r="B50" t="s">
        <v>268</v>
      </c>
      <c r="C50" t="s">
        <v>269</v>
      </c>
      <c r="D50" t="s">
        <v>28</v>
      </c>
      <c r="E50" t="s">
        <v>65</v>
      </c>
      <c r="F50" t="s">
        <v>99</v>
      </c>
      <c r="G50" t="s">
        <v>270</v>
      </c>
      <c r="H50" t="s">
        <v>19</v>
      </c>
      <c r="I50" t="s">
        <v>271</v>
      </c>
      <c r="J50" t="s">
        <v>83</v>
      </c>
      <c r="K50" t="s">
        <v>83</v>
      </c>
      <c r="L50" t="s">
        <v>24</v>
      </c>
      <c r="M50" t="s">
        <v>45</v>
      </c>
      <c r="N50" t="s">
        <v>84</v>
      </c>
      <c r="O50">
        <v>22146</v>
      </c>
      <c r="P50">
        <v>4160</v>
      </c>
      <c r="Q50" t="str">
        <f t="shared" si="0"/>
        <v>Pending</v>
      </c>
      <c r="R50">
        <f t="shared" si="1"/>
        <v>17986</v>
      </c>
    </row>
    <row r="51" spans="1:18">
      <c r="A51">
        <v>50</v>
      </c>
      <c r="B51" t="s">
        <v>272</v>
      </c>
      <c r="C51" t="s">
        <v>273</v>
      </c>
      <c r="D51" t="s">
        <v>32</v>
      </c>
      <c r="E51" t="s">
        <v>87</v>
      </c>
      <c r="F51" t="s">
        <v>99</v>
      </c>
      <c r="G51" t="s">
        <v>274</v>
      </c>
      <c r="H51" t="s">
        <v>27</v>
      </c>
      <c r="I51" t="s">
        <v>275</v>
      </c>
      <c r="J51" t="s">
        <v>83</v>
      </c>
      <c r="K51" t="s">
        <v>83</v>
      </c>
      <c r="L51" t="s">
        <v>24</v>
      </c>
      <c r="M51" t="s">
        <v>46</v>
      </c>
      <c r="N51" t="s">
        <v>84</v>
      </c>
      <c r="O51">
        <v>16852</v>
      </c>
      <c r="P51">
        <v>13418</v>
      </c>
      <c r="Q51" t="str">
        <f t="shared" si="0"/>
        <v>Pending</v>
      </c>
      <c r="R51">
        <f t="shared" si="1"/>
        <v>3434</v>
      </c>
    </row>
    <row r="52" spans="1:18">
      <c r="A52">
        <v>51</v>
      </c>
      <c r="B52" t="s">
        <v>276</v>
      </c>
      <c r="C52" t="s">
        <v>277</v>
      </c>
      <c r="D52" t="s">
        <v>30</v>
      </c>
      <c r="E52" t="s">
        <v>65</v>
      </c>
      <c r="F52" t="s">
        <v>99</v>
      </c>
      <c r="G52" t="s">
        <v>278</v>
      </c>
      <c r="H52" t="s">
        <v>22</v>
      </c>
      <c r="I52" t="s">
        <v>263</v>
      </c>
      <c r="J52" t="s">
        <v>95</v>
      </c>
      <c r="K52" t="s">
        <v>96</v>
      </c>
      <c r="L52" t="s">
        <v>21</v>
      </c>
      <c r="M52" t="s">
        <v>46</v>
      </c>
      <c r="N52" t="s">
        <v>71</v>
      </c>
      <c r="O52">
        <v>37120</v>
      </c>
      <c r="P52">
        <v>5728</v>
      </c>
      <c r="Q52" t="str">
        <f t="shared" si="0"/>
        <v>Pending</v>
      </c>
      <c r="R52">
        <f t="shared" si="1"/>
        <v>31392</v>
      </c>
    </row>
    <row r="53" spans="1:18">
      <c r="A53">
        <v>52</v>
      </c>
      <c r="B53" t="s">
        <v>279</v>
      </c>
      <c r="C53" t="s">
        <v>280</v>
      </c>
      <c r="D53" t="s">
        <v>17</v>
      </c>
      <c r="E53" t="s">
        <v>80</v>
      </c>
      <c r="F53" t="s">
        <v>88</v>
      </c>
      <c r="G53" t="s">
        <v>281</v>
      </c>
      <c r="H53" t="s">
        <v>29</v>
      </c>
      <c r="I53" t="s">
        <v>94</v>
      </c>
      <c r="J53" t="s">
        <v>83</v>
      </c>
      <c r="K53" t="s">
        <v>83</v>
      </c>
      <c r="L53" t="s">
        <v>24</v>
      </c>
      <c r="M53" t="s">
        <v>42</v>
      </c>
      <c r="N53" t="s">
        <v>84</v>
      </c>
      <c r="O53">
        <v>30001</v>
      </c>
      <c r="P53">
        <v>29646</v>
      </c>
      <c r="Q53" t="str">
        <f t="shared" si="0"/>
        <v>Pending</v>
      </c>
      <c r="R53">
        <f t="shared" si="1"/>
        <v>355</v>
      </c>
    </row>
    <row r="54" spans="1:18">
      <c r="A54">
        <v>53</v>
      </c>
      <c r="B54" t="s">
        <v>282</v>
      </c>
      <c r="C54" t="s">
        <v>283</v>
      </c>
      <c r="D54" t="s">
        <v>26</v>
      </c>
      <c r="E54" t="s">
        <v>65</v>
      </c>
      <c r="F54" t="s">
        <v>118</v>
      </c>
      <c r="G54" t="s">
        <v>284</v>
      </c>
      <c r="H54" t="s">
        <v>27</v>
      </c>
      <c r="I54" t="s">
        <v>162</v>
      </c>
      <c r="J54" t="s">
        <v>83</v>
      </c>
      <c r="K54" t="s">
        <v>83</v>
      </c>
      <c r="L54" t="s">
        <v>24</v>
      </c>
      <c r="M54" t="s">
        <v>50</v>
      </c>
      <c r="N54" t="s">
        <v>84</v>
      </c>
      <c r="O54">
        <v>5184</v>
      </c>
      <c r="P54">
        <v>5171</v>
      </c>
      <c r="Q54" t="str">
        <f t="shared" si="0"/>
        <v>Pending</v>
      </c>
      <c r="R54">
        <f t="shared" si="1"/>
        <v>13</v>
      </c>
    </row>
    <row r="55" spans="1:18">
      <c r="A55">
        <v>54</v>
      </c>
      <c r="B55" t="s">
        <v>285</v>
      </c>
      <c r="C55" t="s">
        <v>286</v>
      </c>
      <c r="D55" t="s">
        <v>36</v>
      </c>
      <c r="E55" t="s">
        <v>152</v>
      </c>
      <c r="F55" t="s">
        <v>66</v>
      </c>
      <c r="G55" t="s">
        <v>287</v>
      </c>
      <c r="H55" t="s">
        <v>25</v>
      </c>
      <c r="I55" t="s">
        <v>288</v>
      </c>
      <c r="J55" t="s">
        <v>125</v>
      </c>
      <c r="K55" t="s">
        <v>111</v>
      </c>
      <c r="L55" t="s">
        <v>18</v>
      </c>
      <c r="M55" t="s">
        <v>45</v>
      </c>
      <c r="N55" t="s">
        <v>84</v>
      </c>
      <c r="O55">
        <v>6581</v>
      </c>
      <c r="P55">
        <v>753</v>
      </c>
      <c r="Q55" t="str">
        <f t="shared" si="0"/>
        <v>Pending</v>
      </c>
      <c r="R55">
        <f t="shared" si="1"/>
        <v>5828</v>
      </c>
    </row>
    <row r="56" spans="1:18">
      <c r="A56">
        <v>55</v>
      </c>
      <c r="B56" t="s">
        <v>289</v>
      </c>
      <c r="C56" t="s">
        <v>290</v>
      </c>
      <c r="D56" t="s">
        <v>28</v>
      </c>
      <c r="E56" t="s">
        <v>65</v>
      </c>
      <c r="F56" t="s">
        <v>74</v>
      </c>
      <c r="G56" t="s">
        <v>291</v>
      </c>
      <c r="H56" t="s">
        <v>27</v>
      </c>
      <c r="I56" t="s">
        <v>124</v>
      </c>
      <c r="J56" t="s">
        <v>125</v>
      </c>
      <c r="K56" t="s">
        <v>111</v>
      </c>
      <c r="L56" t="s">
        <v>18</v>
      </c>
      <c r="M56" t="s">
        <v>48</v>
      </c>
      <c r="N56" t="s">
        <v>77</v>
      </c>
      <c r="O56">
        <v>48296</v>
      </c>
      <c r="P56">
        <v>21030</v>
      </c>
      <c r="Q56" t="str">
        <f t="shared" si="0"/>
        <v>Pending</v>
      </c>
      <c r="R56">
        <f t="shared" si="1"/>
        <v>27266</v>
      </c>
    </row>
    <row r="57" spans="1:18">
      <c r="A57">
        <v>56</v>
      </c>
      <c r="B57" t="s">
        <v>292</v>
      </c>
      <c r="C57" t="s">
        <v>293</v>
      </c>
      <c r="D57" t="s">
        <v>26</v>
      </c>
      <c r="E57" t="s">
        <v>65</v>
      </c>
      <c r="F57" t="s">
        <v>99</v>
      </c>
      <c r="G57" t="s">
        <v>294</v>
      </c>
      <c r="H57" t="s">
        <v>27</v>
      </c>
      <c r="I57" t="s">
        <v>295</v>
      </c>
      <c r="J57" t="s">
        <v>69</v>
      </c>
      <c r="K57" t="s">
        <v>70</v>
      </c>
      <c r="L57" t="s">
        <v>21</v>
      </c>
      <c r="M57" t="s">
        <v>48</v>
      </c>
      <c r="N57" t="s">
        <v>77</v>
      </c>
      <c r="O57">
        <v>5662</v>
      </c>
      <c r="P57">
        <v>1156</v>
      </c>
      <c r="Q57" t="str">
        <f t="shared" si="0"/>
        <v>Pending</v>
      </c>
      <c r="R57">
        <f t="shared" si="1"/>
        <v>4506</v>
      </c>
    </row>
    <row r="58" spans="1:18">
      <c r="A58">
        <v>57</v>
      </c>
      <c r="B58" t="s">
        <v>296</v>
      </c>
      <c r="C58" t="s">
        <v>297</v>
      </c>
      <c r="D58" t="s">
        <v>33</v>
      </c>
      <c r="E58" t="s">
        <v>87</v>
      </c>
      <c r="F58" t="s">
        <v>118</v>
      </c>
      <c r="G58" t="s">
        <v>298</v>
      </c>
      <c r="H58" t="s">
        <v>22</v>
      </c>
      <c r="I58" t="s">
        <v>299</v>
      </c>
      <c r="J58" t="s">
        <v>110</v>
      </c>
      <c r="K58" t="s">
        <v>111</v>
      </c>
      <c r="L58" t="s">
        <v>18</v>
      </c>
      <c r="M58" t="s">
        <v>48</v>
      </c>
      <c r="N58" t="s">
        <v>84</v>
      </c>
      <c r="O58">
        <v>13459</v>
      </c>
      <c r="P58">
        <v>1583</v>
      </c>
      <c r="Q58" t="str">
        <f t="shared" si="0"/>
        <v>Pending</v>
      </c>
      <c r="R58">
        <f t="shared" si="1"/>
        <v>11876</v>
      </c>
    </row>
    <row r="59" spans="1:18">
      <c r="A59">
        <v>58</v>
      </c>
      <c r="B59" t="s">
        <v>300</v>
      </c>
      <c r="C59" t="s">
        <v>301</v>
      </c>
      <c r="D59" t="s">
        <v>30</v>
      </c>
      <c r="E59" t="s">
        <v>65</v>
      </c>
      <c r="F59" t="s">
        <v>118</v>
      </c>
      <c r="G59" t="s">
        <v>302</v>
      </c>
      <c r="H59" t="s">
        <v>25</v>
      </c>
      <c r="I59" t="s">
        <v>182</v>
      </c>
      <c r="J59" t="s">
        <v>110</v>
      </c>
      <c r="K59" t="s">
        <v>111</v>
      </c>
      <c r="L59" t="s">
        <v>18</v>
      </c>
      <c r="M59" t="s">
        <v>50</v>
      </c>
      <c r="N59" t="s">
        <v>77</v>
      </c>
      <c r="O59">
        <v>14992</v>
      </c>
      <c r="P59">
        <v>6790</v>
      </c>
      <c r="Q59" t="str">
        <f t="shared" si="0"/>
        <v>Pending</v>
      </c>
      <c r="R59">
        <f t="shared" si="1"/>
        <v>8202</v>
      </c>
    </row>
    <row r="60" spans="1:18">
      <c r="A60">
        <v>59</v>
      </c>
      <c r="B60" t="s">
        <v>303</v>
      </c>
      <c r="C60" t="s">
        <v>304</v>
      </c>
      <c r="D60" t="s">
        <v>40</v>
      </c>
      <c r="E60" t="s">
        <v>152</v>
      </c>
      <c r="F60" t="s">
        <v>118</v>
      </c>
      <c r="G60" t="s">
        <v>305</v>
      </c>
      <c r="H60" t="s">
        <v>22</v>
      </c>
      <c r="I60" t="s">
        <v>306</v>
      </c>
      <c r="J60" t="s">
        <v>69</v>
      </c>
      <c r="K60" t="s">
        <v>70</v>
      </c>
      <c r="L60" t="s">
        <v>21</v>
      </c>
      <c r="M60" t="s">
        <v>50</v>
      </c>
      <c r="N60" t="s">
        <v>84</v>
      </c>
      <c r="O60">
        <v>42841</v>
      </c>
      <c r="P60">
        <v>22082</v>
      </c>
      <c r="Q60" t="str">
        <f t="shared" si="0"/>
        <v>Pending</v>
      </c>
      <c r="R60">
        <f t="shared" si="1"/>
        <v>20759</v>
      </c>
    </row>
    <row r="61" spans="1:18">
      <c r="A61">
        <v>60</v>
      </c>
      <c r="B61" t="s">
        <v>307</v>
      </c>
      <c r="C61" t="s">
        <v>308</v>
      </c>
      <c r="D61" t="s">
        <v>20</v>
      </c>
      <c r="E61" t="s">
        <v>80</v>
      </c>
      <c r="F61" t="s">
        <v>74</v>
      </c>
      <c r="G61" t="s">
        <v>309</v>
      </c>
      <c r="H61" t="s">
        <v>22</v>
      </c>
      <c r="I61" t="s">
        <v>141</v>
      </c>
      <c r="J61" t="s">
        <v>69</v>
      </c>
      <c r="K61" t="s">
        <v>70</v>
      </c>
      <c r="L61" t="s">
        <v>21</v>
      </c>
      <c r="M61" t="s">
        <v>48</v>
      </c>
      <c r="N61" t="s">
        <v>71</v>
      </c>
      <c r="O61">
        <v>36311</v>
      </c>
      <c r="P61">
        <v>929</v>
      </c>
      <c r="Q61" t="str">
        <f t="shared" si="0"/>
        <v>Pending</v>
      </c>
      <c r="R61">
        <f t="shared" si="1"/>
        <v>35382</v>
      </c>
    </row>
    <row r="62" spans="1:18">
      <c r="A62">
        <v>61</v>
      </c>
      <c r="B62" t="s">
        <v>310</v>
      </c>
      <c r="C62" t="s">
        <v>311</v>
      </c>
      <c r="D62" t="s">
        <v>33</v>
      </c>
      <c r="E62" t="s">
        <v>87</v>
      </c>
      <c r="F62" t="s">
        <v>66</v>
      </c>
      <c r="G62" t="s">
        <v>312</v>
      </c>
      <c r="H62" t="s">
        <v>22</v>
      </c>
      <c r="I62" t="s">
        <v>137</v>
      </c>
      <c r="J62" t="s">
        <v>110</v>
      </c>
      <c r="K62" t="s">
        <v>111</v>
      </c>
      <c r="L62" t="s">
        <v>18</v>
      </c>
      <c r="M62" t="s">
        <v>50</v>
      </c>
      <c r="N62" t="s">
        <v>77</v>
      </c>
      <c r="O62">
        <v>23981</v>
      </c>
      <c r="P62">
        <v>149</v>
      </c>
      <c r="Q62" t="str">
        <f t="shared" si="0"/>
        <v>Pending</v>
      </c>
      <c r="R62">
        <f t="shared" si="1"/>
        <v>23832</v>
      </c>
    </row>
    <row r="63" spans="1:18">
      <c r="A63">
        <v>62</v>
      </c>
      <c r="B63" t="s">
        <v>313</v>
      </c>
      <c r="C63" t="s">
        <v>314</v>
      </c>
      <c r="D63" t="s">
        <v>40</v>
      </c>
      <c r="E63" t="s">
        <v>152</v>
      </c>
      <c r="F63" t="s">
        <v>99</v>
      </c>
      <c r="G63" t="s">
        <v>315</v>
      </c>
      <c r="H63" t="s">
        <v>19</v>
      </c>
      <c r="I63" t="s">
        <v>105</v>
      </c>
      <c r="J63" t="s">
        <v>83</v>
      </c>
      <c r="K63" t="s">
        <v>83</v>
      </c>
      <c r="L63" t="s">
        <v>24</v>
      </c>
      <c r="M63" t="s">
        <v>42</v>
      </c>
      <c r="N63" t="s">
        <v>77</v>
      </c>
      <c r="O63">
        <v>36920</v>
      </c>
      <c r="P63">
        <v>4959</v>
      </c>
      <c r="Q63" t="str">
        <f t="shared" si="0"/>
        <v>Pending</v>
      </c>
      <c r="R63">
        <f t="shared" si="1"/>
        <v>31961</v>
      </c>
    </row>
    <row r="64" spans="1:18">
      <c r="A64">
        <v>63</v>
      </c>
      <c r="B64" t="s">
        <v>316</v>
      </c>
      <c r="C64" t="s">
        <v>317</v>
      </c>
      <c r="D64" t="s">
        <v>40</v>
      </c>
      <c r="E64" t="s">
        <v>152</v>
      </c>
      <c r="F64" t="s">
        <v>66</v>
      </c>
      <c r="G64" t="s">
        <v>318</v>
      </c>
      <c r="H64" t="s">
        <v>25</v>
      </c>
      <c r="I64" t="s">
        <v>242</v>
      </c>
      <c r="J64" t="s">
        <v>69</v>
      </c>
      <c r="K64" t="s">
        <v>70</v>
      </c>
      <c r="L64" t="s">
        <v>21</v>
      </c>
      <c r="M64" t="s">
        <v>42</v>
      </c>
      <c r="N64" t="s">
        <v>84</v>
      </c>
      <c r="O64">
        <v>27466</v>
      </c>
      <c r="P64">
        <v>25067</v>
      </c>
      <c r="Q64" t="str">
        <f t="shared" si="0"/>
        <v>Pending</v>
      </c>
      <c r="R64">
        <f t="shared" si="1"/>
        <v>2399</v>
      </c>
    </row>
    <row r="65" spans="1:18">
      <c r="A65">
        <v>64</v>
      </c>
      <c r="B65" t="s">
        <v>319</v>
      </c>
      <c r="C65" t="s">
        <v>320</v>
      </c>
      <c r="D65" t="s">
        <v>32</v>
      </c>
      <c r="E65" t="s">
        <v>87</v>
      </c>
      <c r="F65" t="s">
        <v>66</v>
      </c>
      <c r="G65" t="s">
        <v>321</v>
      </c>
      <c r="H65" t="s">
        <v>19</v>
      </c>
      <c r="I65" t="s">
        <v>68</v>
      </c>
      <c r="J65" t="s">
        <v>83</v>
      </c>
      <c r="K65" t="s">
        <v>83</v>
      </c>
      <c r="L65" t="s">
        <v>24</v>
      </c>
      <c r="M65" t="s">
        <v>42</v>
      </c>
      <c r="N65" t="s">
        <v>71</v>
      </c>
      <c r="O65">
        <v>25908</v>
      </c>
      <c r="P65">
        <v>19842</v>
      </c>
      <c r="Q65" t="str">
        <f t="shared" si="0"/>
        <v>Pending</v>
      </c>
      <c r="R65">
        <f t="shared" si="1"/>
        <v>6066</v>
      </c>
    </row>
    <row r="66" spans="1:18">
      <c r="A66">
        <v>65</v>
      </c>
      <c r="B66" t="s">
        <v>322</v>
      </c>
      <c r="C66" t="s">
        <v>323</v>
      </c>
      <c r="D66" t="s">
        <v>23</v>
      </c>
      <c r="E66" t="s">
        <v>80</v>
      </c>
      <c r="F66" t="s">
        <v>74</v>
      </c>
      <c r="G66" t="s">
        <v>324</v>
      </c>
      <c r="H66" t="s">
        <v>27</v>
      </c>
      <c r="I66" t="s">
        <v>325</v>
      </c>
      <c r="J66" t="s">
        <v>110</v>
      </c>
      <c r="K66" t="s">
        <v>111</v>
      </c>
      <c r="L66" t="s">
        <v>18</v>
      </c>
      <c r="M66" t="s">
        <v>48</v>
      </c>
      <c r="N66" t="s">
        <v>84</v>
      </c>
      <c r="O66">
        <v>46389</v>
      </c>
      <c r="P66">
        <v>7274</v>
      </c>
      <c r="Q66" t="str">
        <f t="shared" ref="Q66:Q129" si="2">IF(R66=0,"Received","Pending")</f>
        <v>Pending</v>
      </c>
      <c r="R66">
        <f t="shared" ref="R66:R129" si="3">O66-P66</f>
        <v>39115</v>
      </c>
    </row>
    <row r="67" spans="1:18">
      <c r="A67">
        <v>66</v>
      </c>
      <c r="B67" t="s">
        <v>326</v>
      </c>
      <c r="C67" t="s">
        <v>327</v>
      </c>
      <c r="D67" t="s">
        <v>20</v>
      </c>
      <c r="E67" t="s">
        <v>80</v>
      </c>
      <c r="F67" t="s">
        <v>66</v>
      </c>
      <c r="G67" t="s">
        <v>328</v>
      </c>
      <c r="H67" t="s">
        <v>27</v>
      </c>
      <c r="I67" t="s">
        <v>223</v>
      </c>
      <c r="J67" t="s">
        <v>95</v>
      </c>
      <c r="K67" t="s">
        <v>96</v>
      </c>
      <c r="L67" t="s">
        <v>21</v>
      </c>
      <c r="M67" t="s">
        <v>50</v>
      </c>
      <c r="N67" t="s">
        <v>84</v>
      </c>
      <c r="O67">
        <v>11052</v>
      </c>
      <c r="P67">
        <v>4786</v>
      </c>
      <c r="Q67" t="str">
        <f t="shared" si="2"/>
        <v>Pending</v>
      </c>
      <c r="R67">
        <f t="shared" si="3"/>
        <v>6266</v>
      </c>
    </row>
    <row r="68" spans="1:18">
      <c r="A68">
        <v>67</v>
      </c>
      <c r="B68" t="s">
        <v>329</v>
      </c>
      <c r="C68" t="s">
        <v>330</v>
      </c>
      <c r="D68" t="s">
        <v>17</v>
      </c>
      <c r="E68" t="s">
        <v>80</v>
      </c>
      <c r="F68" t="s">
        <v>88</v>
      </c>
      <c r="G68" t="s">
        <v>331</v>
      </c>
      <c r="H68" t="s">
        <v>25</v>
      </c>
      <c r="I68" t="s">
        <v>332</v>
      </c>
      <c r="J68" t="s">
        <v>95</v>
      </c>
      <c r="K68" t="s">
        <v>96</v>
      </c>
      <c r="L68" t="s">
        <v>21</v>
      </c>
      <c r="M68" t="s">
        <v>45</v>
      </c>
      <c r="N68" t="s">
        <v>77</v>
      </c>
      <c r="O68">
        <v>17977</v>
      </c>
      <c r="P68">
        <v>14964</v>
      </c>
      <c r="Q68" t="str">
        <f t="shared" si="2"/>
        <v>Pending</v>
      </c>
      <c r="R68">
        <f t="shared" si="3"/>
        <v>3013</v>
      </c>
    </row>
    <row r="69" spans="1:18">
      <c r="A69">
        <v>68</v>
      </c>
      <c r="B69" t="s">
        <v>333</v>
      </c>
      <c r="C69" t="s">
        <v>334</v>
      </c>
      <c r="D69" t="s">
        <v>40</v>
      </c>
      <c r="E69" t="s">
        <v>152</v>
      </c>
      <c r="F69" t="s">
        <v>99</v>
      </c>
      <c r="G69" t="s">
        <v>335</v>
      </c>
      <c r="H69" t="s">
        <v>25</v>
      </c>
      <c r="I69" t="s">
        <v>137</v>
      </c>
      <c r="J69" t="s">
        <v>125</v>
      </c>
      <c r="K69" t="s">
        <v>111</v>
      </c>
      <c r="L69" t="s">
        <v>18</v>
      </c>
      <c r="M69" t="s">
        <v>50</v>
      </c>
      <c r="N69" t="s">
        <v>84</v>
      </c>
      <c r="O69">
        <v>23392</v>
      </c>
      <c r="P69">
        <v>3934</v>
      </c>
      <c r="Q69" t="str">
        <f t="shared" si="2"/>
        <v>Pending</v>
      </c>
      <c r="R69">
        <f t="shared" si="3"/>
        <v>19458</v>
      </c>
    </row>
    <row r="70" spans="1:18">
      <c r="A70">
        <v>69</v>
      </c>
      <c r="B70" t="s">
        <v>336</v>
      </c>
      <c r="C70" t="s">
        <v>337</v>
      </c>
      <c r="D70" t="s">
        <v>20</v>
      </c>
      <c r="E70" t="s">
        <v>80</v>
      </c>
      <c r="F70" t="s">
        <v>88</v>
      </c>
      <c r="G70" t="s">
        <v>338</v>
      </c>
      <c r="H70" t="s">
        <v>22</v>
      </c>
      <c r="I70" t="s">
        <v>339</v>
      </c>
      <c r="J70" t="s">
        <v>125</v>
      </c>
      <c r="K70" t="s">
        <v>111</v>
      </c>
      <c r="L70" t="s">
        <v>18</v>
      </c>
      <c r="M70" t="s">
        <v>48</v>
      </c>
      <c r="N70" t="s">
        <v>84</v>
      </c>
      <c r="O70">
        <v>20087</v>
      </c>
      <c r="P70">
        <v>14902</v>
      </c>
      <c r="Q70" t="str">
        <f t="shared" si="2"/>
        <v>Pending</v>
      </c>
      <c r="R70">
        <f t="shared" si="3"/>
        <v>5185</v>
      </c>
    </row>
    <row r="71" spans="1:18">
      <c r="A71">
        <v>70</v>
      </c>
      <c r="B71" t="s">
        <v>340</v>
      </c>
      <c r="C71" t="s">
        <v>341</v>
      </c>
      <c r="D71" t="s">
        <v>32</v>
      </c>
      <c r="E71" t="s">
        <v>87</v>
      </c>
      <c r="F71" t="s">
        <v>99</v>
      </c>
      <c r="G71" t="s">
        <v>342</v>
      </c>
      <c r="H71" t="s">
        <v>19</v>
      </c>
      <c r="I71" t="s">
        <v>101</v>
      </c>
      <c r="J71" t="s">
        <v>69</v>
      </c>
      <c r="K71" t="s">
        <v>70</v>
      </c>
      <c r="L71" t="s">
        <v>21</v>
      </c>
      <c r="M71" t="s">
        <v>42</v>
      </c>
      <c r="N71" t="s">
        <v>77</v>
      </c>
      <c r="O71">
        <v>6975</v>
      </c>
      <c r="P71">
        <v>2918</v>
      </c>
      <c r="Q71" t="str">
        <f t="shared" si="2"/>
        <v>Pending</v>
      </c>
      <c r="R71">
        <f t="shared" si="3"/>
        <v>4057</v>
      </c>
    </row>
    <row r="72" spans="1:18">
      <c r="A72">
        <v>71</v>
      </c>
      <c r="B72" t="s">
        <v>343</v>
      </c>
      <c r="C72" t="s">
        <v>344</v>
      </c>
      <c r="D72" t="s">
        <v>43</v>
      </c>
      <c r="E72" t="s">
        <v>152</v>
      </c>
      <c r="F72" t="s">
        <v>74</v>
      </c>
      <c r="G72" t="s">
        <v>345</v>
      </c>
      <c r="H72" t="s">
        <v>19</v>
      </c>
      <c r="I72" t="s">
        <v>271</v>
      </c>
      <c r="J72" t="s">
        <v>69</v>
      </c>
      <c r="K72" t="s">
        <v>70</v>
      </c>
      <c r="L72" t="s">
        <v>21</v>
      </c>
      <c r="M72" t="s">
        <v>42</v>
      </c>
      <c r="N72" t="s">
        <v>71</v>
      </c>
      <c r="O72">
        <v>25217</v>
      </c>
      <c r="P72">
        <v>6319</v>
      </c>
      <c r="Q72" t="str">
        <f t="shared" si="2"/>
        <v>Pending</v>
      </c>
      <c r="R72">
        <f t="shared" si="3"/>
        <v>18898</v>
      </c>
    </row>
    <row r="73" spans="1:18">
      <c r="A73">
        <v>72</v>
      </c>
      <c r="B73" t="s">
        <v>346</v>
      </c>
      <c r="C73" t="s">
        <v>347</v>
      </c>
      <c r="D73" t="s">
        <v>43</v>
      </c>
      <c r="E73" t="s">
        <v>152</v>
      </c>
      <c r="F73" t="s">
        <v>99</v>
      </c>
      <c r="G73" t="s">
        <v>348</v>
      </c>
      <c r="H73" t="s">
        <v>29</v>
      </c>
      <c r="I73" t="s">
        <v>174</v>
      </c>
      <c r="J73" t="s">
        <v>83</v>
      </c>
      <c r="K73" t="s">
        <v>83</v>
      </c>
      <c r="L73" t="s">
        <v>24</v>
      </c>
      <c r="M73" t="s">
        <v>45</v>
      </c>
      <c r="N73" t="s">
        <v>84</v>
      </c>
      <c r="O73">
        <v>49333</v>
      </c>
      <c r="P73">
        <v>46392</v>
      </c>
      <c r="Q73" t="str">
        <f t="shared" si="2"/>
        <v>Pending</v>
      </c>
      <c r="R73">
        <f t="shared" si="3"/>
        <v>2941</v>
      </c>
    </row>
    <row r="74" spans="1:18">
      <c r="A74">
        <v>73</v>
      </c>
      <c r="B74" t="s">
        <v>349</v>
      </c>
      <c r="C74" t="s">
        <v>350</v>
      </c>
      <c r="D74" t="s">
        <v>28</v>
      </c>
      <c r="E74" t="s">
        <v>65</v>
      </c>
      <c r="F74" t="s">
        <v>99</v>
      </c>
      <c r="G74" t="s">
        <v>351</v>
      </c>
      <c r="H74" t="s">
        <v>29</v>
      </c>
      <c r="I74" t="s">
        <v>352</v>
      </c>
      <c r="J74" t="s">
        <v>83</v>
      </c>
      <c r="K74" t="s">
        <v>83</v>
      </c>
      <c r="L74" t="s">
        <v>24</v>
      </c>
      <c r="M74" t="s">
        <v>42</v>
      </c>
      <c r="N74" t="s">
        <v>71</v>
      </c>
      <c r="O74">
        <v>35671</v>
      </c>
      <c r="P74">
        <v>29398</v>
      </c>
      <c r="Q74" t="str">
        <f t="shared" si="2"/>
        <v>Pending</v>
      </c>
      <c r="R74">
        <f t="shared" si="3"/>
        <v>6273</v>
      </c>
    </row>
    <row r="75" spans="1:18">
      <c r="A75">
        <v>74</v>
      </c>
      <c r="B75" t="s">
        <v>353</v>
      </c>
      <c r="C75" t="s">
        <v>354</v>
      </c>
      <c r="D75" t="s">
        <v>26</v>
      </c>
      <c r="E75" t="s">
        <v>65</v>
      </c>
      <c r="F75" t="s">
        <v>99</v>
      </c>
      <c r="G75" t="s">
        <v>355</v>
      </c>
      <c r="H75" t="s">
        <v>19</v>
      </c>
      <c r="I75" t="s">
        <v>238</v>
      </c>
      <c r="J75" t="s">
        <v>95</v>
      </c>
      <c r="K75" t="s">
        <v>96</v>
      </c>
      <c r="L75" t="s">
        <v>21</v>
      </c>
      <c r="M75" t="s">
        <v>50</v>
      </c>
      <c r="N75" t="s">
        <v>77</v>
      </c>
      <c r="O75">
        <v>44051</v>
      </c>
      <c r="P75">
        <v>37055</v>
      </c>
      <c r="Q75" t="str">
        <f t="shared" si="2"/>
        <v>Pending</v>
      </c>
      <c r="R75">
        <f t="shared" si="3"/>
        <v>6996</v>
      </c>
    </row>
    <row r="76" spans="1:18">
      <c r="A76">
        <v>75</v>
      </c>
      <c r="B76" t="s">
        <v>356</v>
      </c>
      <c r="C76" t="s">
        <v>357</v>
      </c>
      <c r="D76" t="s">
        <v>32</v>
      </c>
      <c r="E76" t="s">
        <v>87</v>
      </c>
      <c r="F76" t="s">
        <v>66</v>
      </c>
      <c r="G76" t="s">
        <v>358</v>
      </c>
      <c r="H76" t="s">
        <v>27</v>
      </c>
      <c r="I76" t="s">
        <v>359</v>
      </c>
      <c r="J76" t="s">
        <v>69</v>
      </c>
      <c r="K76" t="s">
        <v>70</v>
      </c>
      <c r="L76" t="s">
        <v>21</v>
      </c>
      <c r="M76" t="s">
        <v>48</v>
      </c>
      <c r="N76" t="s">
        <v>71</v>
      </c>
      <c r="O76">
        <v>32807</v>
      </c>
      <c r="P76">
        <v>29581</v>
      </c>
      <c r="Q76" t="str">
        <f t="shared" si="2"/>
        <v>Pending</v>
      </c>
      <c r="R76">
        <f t="shared" si="3"/>
        <v>3226</v>
      </c>
    </row>
    <row r="77" spans="1:18">
      <c r="A77">
        <v>76</v>
      </c>
      <c r="B77" t="s">
        <v>360</v>
      </c>
      <c r="C77" t="s">
        <v>361</v>
      </c>
      <c r="D77" t="s">
        <v>23</v>
      </c>
      <c r="E77" t="s">
        <v>80</v>
      </c>
      <c r="F77" t="s">
        <v>66</v>
      </c>
      <c r="G77" t="s">
        <v>362</v>
      </c>
      <c r="H77" t="s">
        <v>25</v>
      </c>
      <c r="I77" t="s">
        <v>120</v>
      </c>
      <c r="J77" t="s">
        <v>95</v>
      </c>
      <c r="K77" t="s">
        <v>96</v>
      </c>
      <c r="L77" t="s">
        <v>21</v>
      </c>
      <c r="M77" t="s">
        <v>42</v>
      </c>
      <c r="N77" t="s">
        <v>71</v>
      </c>
      <c r="O77">
        <v>22338</v>
      </c>
      <c r="P77">
        <v>8247</v>
      </c>
      <c r="Q77" t="str">
        <f t="shared" si="2"/>
        <v>Pending</v>
      </c>
      <c r="R77">
        <f t="shared" si="3"/>
        <v>14091</v>
      </c>
    </row>
    <row r="78" spans="1:18">
      <c r="A78">
        <v>77</v>
      </c>
      <c r="B78" t="s">
        <v>363</v>
      </c>
      <c r="C78" t="s">
        <v>364</v>
      </c>
      <c r="D78" t="s">
        <v>28</v>
      </c>
      <c r="E78" t="s">
        <v>65</v>
      </c>
      <c r="F78" t="s">
        <v>118</v>
      </c>
      <c r="G78" t="s">
        <v>365</v>
      </c>
      <c r="H78" t="s">
        <v>22</v>
      </c>
      <c r="I78" t="s">
        <v>366</v>
      </c>
      <c r="J78" t="s">
        <v>125</v>
      </c>
      <c r="K78" t="s">
        <v>111</v>
      </c>
      <c r="L78" t="s">
        <v>18</v>
      </c>
      <c r="M78" t="s">
        <v>48</v>
      </c>
      <c r="N78" t="s">
        <v>71</v>
      </c>
      <c r="O78">
        <v>26007</v>
      </c>
      <c r="P78">
        <v>21015</v>
      </c>
      <c r="Q78" t="str">
        <f t="shared" si="2"/>
        <v>Pending</v>
      </c>
      <c r="R78">
        <f t="shared" si="3"/>
        <v>4992</v>
      </c>
    </row>
    <row r="79" spans="1:18">
      <c r="A79">
        <v>78</v>
      </c>
      <c r="B79" t="s">
        <v>367</v>
      </c>
      <c r="C79" t="s">
        <v>368</v>
      </c>
      <c r="D79" t="s">
        <v>32</v>
      </c>
      <c r="E79" t="s">
        <v>87</v>
      </c>
      <c r="F79" t="s">
        <v>74</v>
      </c>
      <c r="G79" t="s">
        <v>369</v>
      </c>
      <c r="H79" t="s">
        <v>22</v>
      </c>
      <c r="I79" t="s">
        <v>129</v>
      </c>
      <c r="J79" t="s">
        <v>125</v>
      </c>
      <c r="K79" t="s">
        <v>111</v>
      </c>
      <c r="L79" t="s">
        <v>18</v>
      </c>
      <c r="M79" t="s">
        <v>46</v>
      </c>
      <c r="N79" t="s">
        <v>84</v>
      </c>
      <c r="O79">
        <v>22132</v>
      </c>
      <c r="P79">
        <v>20535</v>
      </c>
      <c r="Q79" t="str">
        <f t="shared" si="2"/>
        <v>Pending</v>
      </c>
      <c r="R79">
        <f t="shared" si="3"/>
        <v>1597</v>
      </c>
    </row>
    <row r="80" spans="1:18">
      <c r="A80">
        <v>79</v>
      </c>
      <c r="B80" t="s">
        <v>370</v>
      </c>
      <c r="C80" t="s">
        <v>371</v>
      </c>
      <c r="D80" t="s">
        <v>43</v>
      </c>
      <c r="E80" t="s">
        <v>152</v>
      </c>
      <c r="F80" t="s">
        <v>74</v>
      </c>
      <c r="G80" t="s">
        <v>372</v>
      </c>
      <c r="H80" t="s">
        <v>27</v>
      </c>
      <c r="I80" t="s">
        <v>373</v>
      </c>
      <c r="J80" t="s">
        <v>125</v>
      </c>
      <c r="K80" t="s">
        <v>111</v>
      </c>
      <c r="L80" t="s">
        <v>18</v>
      </c>
      <c r="M80" t="s">
        <v>42</v>
      </c>
      <c r="N80" t="s">
        <v>77</v>
      </c>
      <c r="O80">
        <v>47883</v>
      </c>
      <c r="P80">
        <v>13053</v>
      </c>
      <c r="Q80" t="str">
        <f t="shared" si="2"/>
        <v>Pending</v>
      </c>
      <c r="R80">
        <f t="shared" si="3"/>
        <v>34830</v>
      </c>
    </row>
    <row r="81" spans="1:18">
      <c r="A81">
        <v>80</v>
      </c>
      <c r="B81" t="s">
        <v>374</v>
      </c>
      <c r="C81" t="s">
        <v>375</v>
      </c>
      <c r="D81" t="s">
        <v>17</v>
      </c>
      <c r="E81" t="s">
        <v>80</v>
      </c>
      <c r="F81" t="s">
        <v>74</v>
      </c>
      <c r="G81" t="s">
        <v>376</v>
      </c>
      <c r="H81" t="s">
        <v>22</v>
      </c>
      <c r="I81" t="s">
        <v>377</v>
      </c>
      <c r="J81" t="s">
        <v>125</v>
      </c>
      <c r="K81" t="s">
        <v>111</v>
      </c>
      <c r="L81" t="s">
        <v>18</v>
      </c>
      <c r="M81" t="s">
        <v>50</v>
      </c>
      <c r="N81" t="s">
        <v>77</v>
      </c>
      <c r="O81">
        <v>10874</v>
      </c>
      <c r="P81">
        <v>9405</v>
      </c>
      <c r="Q81" t="str">
        <f t="shared" si="2"/>
        <v>Pending</v>
      </c>
      <c r="R81">
        <f t="shared" si="3"/>
        <v>1469</v>
      </c>
    </row>
    <row r="82" spans="1:18">
      <c r="A82">
        <v>81</v>
      </c>
      <c r="B82" t="s">
        <v>378</v>
      </c>
      <c r="C82" t="s">
        <v>379</v>
      </c>
      <c r="D82" t="s">
        <v>32</v>
      </c>
      <c r="E82" t="s">
        <v>87</v>
      </c>
      <c r="F82" t="s">
        <v>99</v>
      </c>
      <c r="G82" t="s">
        <v>380</v>
      </c>
      <c r="H82" t="s">
        <v>19</v>
      </c>
      <c r="I82" t="s">
        <v>182</v>
      </c>
      <c r="J82" t="s">
        <v>110</v>
      </c>
      <c r="K82" t="s">
        <v>111</v>
      </c>
      <c r="L82" t="s">
        <v>18</v>
      </c>
      <c r="M82" t="s">
        <v>48</v>
      </c>
      <c r="N82" t="s">
        <v>71</v>
      </c>
      <c r="O82">
        <v>11592</v>
      </c>
      <c r="P82">
        <v>1132</v>
      </c>
      <c r="Q82" t="str">
        <f t="shared" si="2"/>
        <v>Pending</v>
      </c>
      <c r="R82">
        <f t="shared" si="3"/>
        <v>10460</v>
      </c>
    </row>
    <row r="83" spans="1:18">
      <c r="A83">
        <v>82</v>
      </c>
      <c r="B83" t="s">
        <v>381</v>
      </c>
      <c r="C83" t="s">
        <v>382</v>
      </c>
      <c r="D83" t="s">
        <v>43</v>
      </c>
      <c r="E83" t="s">
        <v>152</v>
      </c>
      <c r="F83" t="s">
        <v>118</v>
      </c>
      <c r="G83" t="s">
        <v>383</v>
      </c>
      <c r="H83" t="s">
        <v>27</v>
      </c>
      <c r="I83" t="s">
        <v>384</v>
      </c>
      <c r="J83" t="s">
        <v>69</v>
      </c>
      <c r="K83" t="s">
        <v>70</v>
      </c>
      <c r="L83" t="s">
        <v>21</v>
      </c>
      <c r="M83" t="s">
        <v>48</v>
      </c>
      <c r="N83" t="s">
        <v>71</v>
      </c>
      <c r="O83">
        <v>26662</v>
      </c>
      <c r="P83">
        <v>21884</v>
      </c>
      <c r="Q83" t="str">
        <f t="shared" si="2"/>
        <v>Pending</v>
      </c>
      <c r="R83">
        <f t="shared" si="3"/>
        <v>4778</v>
      </c>
    </row>
    <row r="84" spans="1:18">
      <c r="A84">
        <v>83</v>
      </c>
      <c r="B84" t="s">
        <v>385</v>
      </c>
      <c r="C84" t="s">
        <v>386</v>
      </c>
      <c r="D84" t="s">
        <v>17</v>
      </c>
      <c r="E84" t="s">
        <v>80</v>
      </c>
      <c r="F84" t="s">
        <v>74</v>
      </c>
      <c r="G84" t="s">
        <v>387</v>
      </c>
      <c r="H84" t="s">
        <v>22</v>
      </c>
      <c r="I84" t="s">
        <v>388</v>
      </c>
      <c r="J84" t="s">
        <v>110</v>
      </c>
      <c r="K84" t="s">
        <v>111</v>
      </c>
      <c r="L84" t="s">
        <v>18</v>
      </c>
      <c r="M84" t="s">
        <v>45</v>
      </c>
      <c r="N84" t="s">
        <v>77</v>
      </c>
      <c r="O84">
        <v>47316</v>
      </c>
      <c r="P84">
        <v>39932</v>
      </c>
      <c r="Q84" t="str">
        <f t="shared" si="2"/>
        <v>Pending</v>
      </c>
      <c r="R84">
        <f t="shared" si="3"/>
        <v>7384</v>
      </c>
    </row>
    <row r="85" spans="1:18">
      <c r="A85">
        <v>84</v>
      </c>
      <c r="B85" t="s">
        <v>389</v>
      </c>
      <c r="C85" t="s">
        <v>390</v>
      </c>
      <c r="D85" t="s">
        <v>36</v>
      </c>
      <c r="E85" t="s">
        <v>152</v>
      </c>
      <c r="F85" t="s">
        <v>74</v>
      </c>
      <c r="G85" t="s">
        <v>391</v>
      </c>
      <c r="H85" t="s">
        <v>19</v>
      </c>
      <c r="I85" t="s">
        <v>392</v>
      </c>
      <c r="J85" t="s">
        <v>110</v>
      </c>
      <c r="K85" t="s">
        <v>111</v>
      </c>
      <c r="L85" t="s">
        <v>18</v>
      </c>
      <c r="M85" t="s">
        <v>42</v>
      </c>
      <c r="N85" t="s">
        <v>77</v>
      </c>
      <c r="O85">
        <v>22005</v>
      </c>
      <c r="P85">
        <v>17663</v>
      </c>
      <c r="Q85" t="str">
        <f t="shared" si="2"/>
        <v>Pending</v>
      </c>
      <c r="R85">
        <f t="shared" si="3"/>
        <v>4342</v>
      </c>
    </row>
    <row r="86" spans="1:18">
      <c r="A86">
        <v>85</v>
      </c>
      <c r="B86" t="s">
        <v>393</v>
      </c>
      <c r="C86" t="s">
        <v>394</v>
      </c>
      <c r="D86" t="s">
        <v>31</v>
      </c>
      <c r="E86" t="s">
        <v>87</v>
      </c>
      <c r="F86" t="s">
        <v>118</v>
      </c>
      <c r="G86" t="s">
        <v>395</v>
      </c>
      <c r="H86" t="s">
        <v>27</v>
      </c>
      <c r="I86" t="s">
        <v>396</v>
      </c>
      <c r="J86" t="s">
        <v>110</v>
      </c>
      <c r="K86" t="s">
        <v>111</v>
      </c>
      <c r="L86" t="s">
        <v>18</v>
      </c>
      <c r="M86" t="s">
        <v>45</v>
      </c>
      <c r="N86" t="s">
        <v>77</v>
      </c>
      <c r="O86">
        <v>46521</v>
      </c>
      <c r="P86">
        <v>37435</v>
      </c>
      <c r="Q86" t="str">
        <f t="shared" si="2"/>
        <v>Pending</v>
      </c>
      <c r="R86">
        <f t="shared" si="3"/>
        <v>9086</v>
      </c>
    </row>
    <row r="87" spans="1:18">
      <c r="A87">
        <v>86</v>
      </c>
      <c r="B87" t="s">
        <v>397</v>
      </c>
      <c r="C87" t="s">
        <v>398</v>
      </c>
      <c r="D87" t="s">
        <v>20</v>
      </c>
      <c r="E87" t="s">
        <v>80</v>
      </c>
      <c r="F87" t="s">
        <v>88</v>
      </c>
      <c r="G87" t="s">
        <v>399</v>
      </c>
      <c r="H87" t="s">
        <v>25</v>
      </c>
      <c r="I87" t="s">
        <v>178</v>
      </c>
      <c r="J87" t="s">
        <v>83</v>
      </c>
      <c r="K87" t="s">
        <v>83</v>
      </c>
      <c r="L87" t="s">
        <v>24</v>
      </c>
      <c r="M87" t="s">
        <v>46</v>
      </c>
      <c r="N87" t="s">
        <v>84</v>
      </c>
      <c r="O87">
        <v>15886</v>
      </c>
      <c r="P87">
        <v>14059</v>
      </c>
      <c r="Q87" t="str">
        <f t="shared" si="2"/>
        <v>Pending</v>
      </c>
      <c r="R87">
        <f t="shared" si="3"/>
        <v>1827</v>
      </c>
    </row>
    <row r="88" spans="1:18">
      <c r="A88">
        <v>87</v>
      </c>
      <c r="B88" t="s">
        <v>400</v>
      </c>
      <c r="C88" t="s">
        <v>401</v>
      </c>
      <c r="D88" t="s">
        <v>40</v>
      </c>
      <c r="E88" t="s">
        <v>152</v>
      </c>
      <c r="F88" t="s">
        <v>99</v>
      </c>
      <c r="G88" t="s">
        <v>402</v>
      </c>
      <c r="H88" t="s">
        <v>27</v>
      </c>
      <c r="I88" t="s">
        <v>403</v>
      </c>
      <c r="J88" t="s">
        <v>69</v>
      </c>
      <c r="K88" t="s">
        <v>70</v>
      </c>
      <c r="L88" t="s">
        <v>21</v>
      </c>
      <c r="M88" t="s">
        <v>42</v>
      </c>
      <c r="N88" t="s">
        <v>77</v>
      </c>
      <c r="O88">
        <v>35944</v>
      </c>
      <c r="P88">
        <v>14301</v>
      </c>
      <c r="Q88" t="str">
        <f t="shared" si="2"/>
        <v>Pending</v>
      </c>
      <c r="R88">
        <f t="shared" si="3"/>
        <v>21643</v>
      </c>
    </row>
    <row r="89" spans="1:18">
      <c r="A89">
        <v>88</v>
      </c>
      <c r="B89" t="s">
        <v>404</v>
      </c>
      <c r="C89" t="s">
        <v>405</v>
      </c>
      <c r="D89" t="s">
        <v>23</v>
      </c>
      <c r="E89" t="s">
        <v>80</v>
      </c>
      <c r="F89" t="s">
        <v>74</v>
      </c>
      <c r="G89" t="s">
        <v>406</v>
      </c>
      <c r="H89" t="s">
        <v>25</v>
      </c>
      <c r="I89" t="s">
        <v>267</v>
      </c>
      <c r="J89" t="s">
        <v>95</v>
      </c>
      <c r="K89" t="s">
        <v>96</v>
      </c>
      <c r="L89" t="s">
        <v>21</v>
      </c>
      <c r="M89" t="s">
        <v>50</v>
      </c>
      <c r="N89" t="s">
        <v>77</v>
      </c>
      <c r="O89">
        <v>44773</v>
      </c>
      <c r="P89">
        <v>31063</v>
      </c>
      <c r="Q89" t="str">
        <f t="shared" si="2"/>
        <v>Pending</v>
      </c>
      <c r="R89">
        <f t="shared" si="3"/>
        <v>13710</v>
      </c>
    </row>
    <row r="90" spans="1:18">
      <c r="A90">
        <v>89</v>
      </c>
      <c r="B90" t="s">
        <v>407</v>
      </c>
      <c r="C90" t="s">
        <v>408</v>
      </c>
      <c r="D90" t="s">
        <v>20</v>
      </c>
      <c r="E90" t="s">
        <v>80</v>
      </c>
      <c r="F90" t="s">
        <v>88</v>
      </c>
      <c r="G90" t="s">
        <v>409</v>
      </c>
      <c r="H90" t="s">
        <v>27</v>
      </c>
      <c r="I90" t="s">
        <v>242</v>
      </c>
      <c r="J90" t="s">
        <v>95</v>
      </c>
      <c r="K90" t="s">
        <v>96</v>
      </c>
      <c r="L90" t="s">
        <v>21</v>
      </c>
      <c r="M90" t="s">
        <v>42</v>
      </c>
      <c r="N90" t="s">
        <v>71</v>
      </c>
      <c r="O90">
        <v>32815</v>
      </c>
      <c r="P90">
        <v>12967</v>
      </c>
      <c r="Q90" t="str">
        <f t="shared" si="2"/>
        <v>Pending</v>
      </c>
      <c r="R90">
        <f t="shared" si="3"/>
        <v>19848</v>
      </c>
    </row>
    <row r="91" spans="1:18">
      <c r="A91">
        <v>90</v>
      </c>
      <c r="B91" t="s">
        <v>410</v>
      </c>
      <c r="C91" t="s">
        <v>411</v>
      </c>
      <c r="D91" t="s">
        <v>40</v>
      </c>
      <c r="E91" t="s">
        <v>152</v>
      </c>
      <c r="F91" t="s">
        <v>88</v>
      </c>
      <c r="G91" t="s">
        <v>412</v>
      </c>
      <c r="H91" t="s">
        <v>22</v>
      </c>
      <c r="I91" t="s">
        <v>413</v>
      </c>
      <c r="J91" t="s">
        <v>125</v>
      </c>
      <c r="K91" t="s">
        <v>111</v>
      </c>
      <c r="L91" t="s">
        <v>18</v>
      </c>
      <c r="M91" t="s">
        <v>46</v>
      </c>
      <c r="N91" t="s">
        <v>71</v>
      </c>
      <c r="O91">
        <v>12789</v>
      </c>
      <c r="P91">
        <v>2948</v>
      </c>
      <c r="Q91" t="str">
        <f t="shared" si="2"/>
        <v>Pending</v>
      </c>
      <c r="R91">
        <f t="shared" si="3"/>
        <v>9841</v>
      </c>
    </row>
    <row r="92" spans="1:18">
      <c r="A92">
        <v>91</v>
      </c>
      <c r="B92" t="s">
        <v>414</v>
      </c>
      <c r="C92" t="s">
        <v>415</v>
      </c>
      <c r="D92" t="s">
        <v>31</v>
      </c>
      <c r="E92" t="s">
        <v>87</v>
      </c>
      <c r="F92" t="s">
        <v>74</v>
      </c>
      <c r="G92" t="s">
        <v>416</v>
      </c>
      <c r="H92" t="s">
        <v>29</v>
      </c>
      <c r="I92" t="s">
        <v>141</v>
      </c>
      <c r="J92" t="s">
        <v>110</v>
      </c>
      <c r="K92" t="s">
        <v>111</v>
      </c>
      <c r="L92" t="s">
        <v>18</v>
      </c>
      <c r="M92" t="s">
        <v>50</v>
      </c>
      <c r="N92" t="s">
        <v>77</v>
      </c>
      <c r="O92">
        <v>42292</v>
      </c>
      <c r="P92">
        <v>15539</v>
      </c>
      <c r="Q92" t="str">
        <f t="shared" si="2"/>
        <v>Pending</v>
      </c>
      <c r="R92">
        <f t="shared" si="3"/>
        <v>26753</v>
      </c>
    </row>
    <row r="93" spans="1:18">
      <c r="A93">
        <v>92</v>
      </c>
      <c r="B93" t="s">
        <v>417</v>
      </c>
      <c r="C93" t="s">
        <v>418</v>
      </c>
      <c r="D93" t="s">
        <v>17</v>
      </c>
      <c r="E93" t="s">
        <v>80</v>
      </c>
      <c r="F93" t="s">
        <v>74</v>
      </c>
      <c r="G93" t="s">
        <v>419</v>
      </c>
      <c r="H93" t="s">
        <v>25</v>
      </c>
      <c r="I93" t="s">
        <v>332</v>
      </c>
      <c r="J93" t="s">
        <v>125</v>
      </c>
      <c r="K93" t="s">
        <v>111</v>
      </c>
      <c r="L93" t="s">
        <v>18</v>
      </c>
      <c r="M93" t="s">
        <v>45</v>
      </c>
      <c r="N93" t="s">
        <v>84</v>
      </c>
      <c r="O93">
        <v>34085</v>
      </c>
      <c r="P93">
        <v>20316</v>
      </c>
      <c r="Q93" t="str">
        <f t="shared" si="2"/>
        <v>Pending</v>
      </c>
      <c r="R93">
        <f t="shared" si="3"/>
        <v>13769</v>
      </c>
    </row>
    <row r="94" spans="1:18">
      <c r="A94">
        <v>93</v>
      </c>
      <c r="B94" t="s">
        <v>420</v>
      </c>
      <c r="C94" t="s">
        <v>421</v>
      </c>
      <c r="D94" t="s">
        <v>31</v>
      </c>
      <c r="E94" t="s">
        <v>87</v>
      </c>
      <c r="F94" t="s">
        <v>99</v>
      </c>
      <c r="G94" t="s">
        <v>422</v>
      </c>
      <c r="H94" t="s">
        <v>22</v>
      </c>
      <c r="I94" t="s">
        <v>423</v>
      </c>
      <c r="J94" t="s">
        <v>95</v>
      </c>
      <c r="K94" t="s">
        <v>96</v>
      </c>
      <c r="L94" t="s">
        <v>21</v>
      </c>
      <c r="M94" t="s">
        <v>46</v>
      </c>
      <c r="N94" t="s">
        <v>84</v>
      </c>
      <c r="O94">
        <v>6256</v>
      </c>
      <c r="P94">
        <v>2510</v>
      </c>
      <c r="Q94" t="str">
        <f t="shared" si="2"/>
        <v>Pending</v>
      </c>
      <c r="R94">
        <f t="shared" si="3"/>
        <v>3746</v>
      </c>
    </row>
    <row r="95" spans="1:18">
      <c r="A95">
        <v>94</v>
      </c>
      <c r="B95" t="s">
        <v>424</v>
      </c>
      <c r="C95" t="s">
        <v>425</v>
      </c>
      <c r="D95" t="s">
        <v>23</v>
      </c>
      <c r="E95" t="s">
        <v>80</v>
      </c>
      <c r="F95" t="s">
        <v>118</v>
      </c>
      <c r="G95" t="s">
        <v>426</v>
      </c>
      <c r="H95" t="s">
        <v>19</v>
      </c>
      <c r="I95" t="s">
        <v>413</v>
      </c>
      <c r="J95" t="s">
        <v>83</v>
      </c>
      <c r="K95" t="s">
        <v>83</v>
      </c>
      <c r="L95" t="s">
        <v>24</v>
      </c>
      <c r="M95" t="s">
        <v>45</v>
      </c>
      <c r="N95" t="s">
        <v>77</v>
      </c>
      <c r="O95">
        <v>42804</v>
      </c>
      <c r="P95">
        <v>3811</v>
      </c>
      <c r="Q95" t="str">
        <f t="shared" si="2"/>
        <v>Pending</v>
      </c>
      <c r="R95">
        <f t="shared" si="3"/>
        <v>38993</v>
      </c>
    </row>
    <row r="96" spans="1:18">
      <c r="A96">
        <v>95</v>
      </c>
      <c r="B96" t="s">
        <v>427</v>
      </c>
      <c r="C96" t="s">
        <v>428</v>
      </c>
      <c r="D96" t="s">
        <v>26</v>
      </c>
      <c r="E96" t="s">
        <v>65</v>
      </c>
      <c r="F96" t="s">
        <v>88</v>
      </c>
      <c r="G96" t="s">
        <v>429</v>
      </c>
      <c r="H96" t="s">
        <v>27</v>
      </c>
      <c r="I96" t="s">
        <v>212</v>
      </c>
      <c r="J96" t="s">
        <v>69</v>
      </c>
      <c r="K96" t="s">
        <v>70</v>
      </c>
      <c r="L96" t="s">
        <v>21</v>
      </c>
      <c r="M96" t="s">
        <v>45</v>
      </c>
      <c r="N96" t="s">
        <v>84</v>
      </c>
      <c r="O96">
        <v>6472</v>
      </c>
      <c r="P96">
        <v>5926</v>
      </c>
      <c r="Q96" t="str">
        <f t="shared" si="2"/>
        <v>Pending</v>
      </c>
      <c r="R96">
        <f t="shared" si="3"/>
        <v>546</v>
      </c>
    </row>
    <row r="97" spans="1:18">
      <c r="A97">
        <v>96</v>
      </c>
      <c r="B97" t="s">
        <v>430</v>
      </c>
      <c r="C97" t="s">
        <v>431</v>
      </c>
      <c r="D97" t="s">
        <v>40</v>
      </c>
      <c r="E97" t="s">
        <v>152</v>
      </c>
      <c r="F97" t="s">
        <v>74</v>
      </c>
      <c r="G97" t="s">
        <v>432</v>
      </c>
      <c r="H97" t="s">
        <v>19</v>
      </c>
      <c r="I97" t="s">
        <v>433</v>
      </c>
      <c r="J97" t="s">
        <v>95</v>
      </c>
      <c r="K97" t="s">
        <v>96</v>
      </c>
      <c r="L97" t="s">
        <v>21</v>
      </c>
      <c r="M97" t="s">
        <v>48</v>
      </c>
      <c r="N97" t="s">
        <v>77</v>
      </c>
      <c r="O97">
        <v>27671</v>
      </c>
      <c r="P97">
        <v>1527</v>
      </c>
      <c r="Q97" t="str">
        <f t="shared" si="2"/>
        <v>Pending</v>
      </c>
      <c r="R97">
        <f t="shared" si="3"/>
        <v>26144</v>
      </c>
    </row>
    <row r="98" spans="1:18">
      <c r="A98">
        <v>97</v>
      </c>
      <c r="B98" t="s">
        <v>434</v>
      </c>
      <c r="C98" t="s">
        <v>435</v>
      </c>
      <c r="D98" t="s">
        <v>26</v>
      </c>
      <c r="E98" t="s">
        <v>65</v>
      </c>
      <c r="F98" t="s">
        <v>66</v>
      </c>
      <c r="G98" t="s">
        <v>436</v>
      </c>
      <c r="H98" t="s">
        <v>25</v>
      </c>
      <c r="I98" t="s">
        <v>178</v>
      </c>
      <c r="J98" t="s">
        <v>83</v>
      </c>
      <c r="K98" t="s">
        <v>83</v>
      </c>
      <c r="L98" t="s">
        <v>24</v>
      </c>
      <c r="M98" t="s">
        <v>48</v>
      </c>
      <c r="N98" t="s">
        <v>71</v>
      </c>
      <c r="O98">
        <v>9836</v>
      </c>
      <c r="P98">
        <v>7859</v>
      </c>
      <c r="Q98" t="str">
        <f t="shared" si="2"/>
        <v>Pending</v>
      </c>
      <c r="R98">
        <f t="shared" si="3"/>
        <v>1977</v>
      </c>
    </row>
    <row r="99" spans="1:18">
      <c r="A99">
        <v>98</v>
      </c>
      <c r="B99" t="s">
        <v>437</v>
      </c>
      <c r="C99" t="s">
        <v>438</v>
      </c>
      <c r="D99" t="s">
        <v>28</v>
      </c>
      <c r="E99" t="s">
        <v>65</v>
      </c>
      <c r="F99" t="s">
        <v>99</v>
      </c>
      <c r="G99" t="s">
        <v>439</v>
      </c>
      <c r="H99" t="s">
        <v>27</v>
      </c>
      <c r="I99" t="s">
        <v>384</v>
      </c>
      <c r="J99" t="s">
        <v>110</v>
      </c>
      <c r="K99" t="s">
        <v>111</v>
      </c>
      <c r="L99" t="s">
        <v>18</v>
      </c>
      <c r="M99" t="s">
        <v>42</v>
      </c>
      <c r="N99" t="s">
        <v>77</v>
      </c>
      <c r="O99">
        <v>46324</v>
      </c>
      <c r="P99">
        <v>42840</v>
      </c>
      <c r="Q99" t="str">
        <f t="shared" si="2"/>
        <v>Pending</v>
      </c>
      <c r="R99">
        <f t="shared" si="3"/>
        <v>3484</v>
      </c>
    </row>
    <row r="100" spans="1:18">
      <c r="A100">
        <v>99</v>
      </c>
      <c r="B100" t="s">
        <v>440</v>
      </c>
      <c r="C100" t="s">
        <v>441</v>
      </c>
      <c r="D100" t="s">
        <v>20</v>
      </c>
      <c r="E100" t="s">
        <v>80</v>
      </c>
      <c r="F100" t="s">
        <v>66</v>
      </c>
      <c r="G100" t="s">
        <v>442</v>
      </c>
      <c r="H100" t="s">
        <v>22</v>
      </c>
      <c r="I100" t="s">
        <v>306</v>
      </c>
      <c r="J100" t="s">
        <v>69</v>
      </c>
      <c r="K100" t="s">
        <v>70</v>
      </c>
      <c r="L100" t="s">
        <v>21</v>
      </c>
      <c r="M100" t="s">
        <v>50</v>
      </c>
      <c r="N100" t="s">
        <v>71</v>
      </c>
      <c r="O100">
        <v>33175</v>
      </c>
      <c r="P100">
        <v>17200</v>
      </c>
      <c r="Q100" t="str">
        <f t="shared" si="2"/>
        <v>Pending</v>
      </c>
      <c r="R100">
        <f t="shared" si="3"/>
        <v>15975</v>
      </c>
    </row>
    <row r="101" spans="1:18">
      <c r="A101">
        <v>100</v>
      </c>
      <c r="B101" t="s">
        <v>443</v>
      </c>
      <c r="C101" t="s">
        <v>444</v>
      </c>
      <c r="D101" t="s">
        <v>28</v>
      </c>
      <c r="E101" t="s">
        <v>65</v>
      </c>
      <c r="F101" t="s">
        <v>74</v>
      </c>
      <c r="G101" t="s">
        <v>445</v>
      </c>
      <c r="H101" t="s">
        <v>25</v>
      </c>
      <c r="I101" t="s">
        <v>212</v>
      </c>
      <c r="J101" t="s">
        <v>69</v>
      </c>
      <c r="K101" t="s">
        <v>70</v>
      </c>
      <c r="L101" t="s">
        <v>21</v>
      </c>
      <c r="M101" t="s">
        <v>48</v>
      </c>
      <c r="N101" t="s">
        <v>77</v>
      </c>
      <c r="O101">
        <v>12279</v>
      </c>
      <c r="P101">
        <v>3773</v>
      </c>
      <c r="Q101" t="str">
        <f t="shared" si="2"/>
        <v>Pending</v>
      </c>
      <c r="R101">
        <f t="shared" si="3"/>
        <v>8506</v>
      </c>
    </row>
    <row r="102" spans="1:18">
      <c r="A102">
        <v>101</v>
      </c>
      <c r="B102" t="s">
        <v>446</v>
      </c>
      <c r="C102" t="s">
        <v>447</v>
      </c>
      <c r="D102" t="s">
        <v>23</v>
      </c>
      <c r="E102" t="s">
        <v>80</v>
      </c>
      <c r="F102" t="s">
        <v>66</v>
      </c>
      <c r="G102" t="s">
        <v>448</v>
      </c>
      <c r="H102" t="s">
        <v>29</v>
      </c>
      <c r="I102" t="s">
        <v>68</v>
      </c>
      <c r="J102" t="s">
        <v>125</v>
      </c>
      <c r="K102" t="s">
        <v>111</v>
      </c>
      <c r="L102" t="s">
        <v>18</v>
      </c>
      <c r="M102" t="s">
        <v>50</v>
      </c>
      <c r="N102" t="s">
        <v>71</v>
      </c>
      <c r="O102">
        <v>19148</v>
      </c>
      <c r="P102">
        <v>12794</v>
      </c>
      <c r="Q102" t="str">
        <f t="shared" si="2"/>
        <v>Pending</v>
      </c>
      <c r="R102">
        <f t="shared" si="3"/>
        <v>6354</v>
      </c>
    </row>
    <row r="103" spans="1:18">
      <c r="A103">
        <v>102</v>
      </c>
      <c r="B103" t="s">
        <v>449</v>
      </c>
      <c r="C103" t="s">
        <v>450</v>
      </c>
      <c r="D103" t="s">
        <v>28</v>
      </c>
      <c r="E103" t="s">
        <v>65</v>
      </c>
      <c r="F103" t="s">
        <v>74</v>
      </c>
      <c r="G103" t="s">
        <v>451</v>
      </c>
      <c r="H103" t="s">
        <v>29</v>
      </c>
      <c r="I103" t="s">
        <v>275</v>
      </c>
      <c r="J103" t="s">
        <v>69</v>
      </c>
      <c r="K103" t="s">
        <v>70</v>
      </c>
      <c r="L103" t="s">
        <v>21</v>
      </c>
      <c r="M103" t="s">
        <v>42</v>
      </c>
      <c r="N103" t="s">
        <v>71</v>
      </c>
      <c r="O103">
        <v>6828</v>
      </c>
      <c r="P103">
        <v>1492</v>
      </c>
      <c r="Q103" t="str">
        <f t="shared" si="2"/>
        <v>Pending</v>
      </c>
      <c r="R103">
        <f t="shared" si="3"/>
        <v>5336</v>
      </c>
    </row>
    <row r="104" spans="1:18">
      <c r="A104">
        <v>103</v>
      </c>
      <c r="B104" t="s">
        <v>452</v>
      </c>
      <c r="C104" t="s">
        <v>453</v>
      </c>
      <c r="D104" t="s">
        <v>43</v>
      </c>
      <c r="E104" t="s">
        <v>152</v>
      </c>
      <c r="F104" t="s">
        <v>66</v>
      </c>
      <c r="G104" t="s">
        <v>454</v>
      </c>
      <c r="H104" t="s">
        <v>25</v>
      </c>
      <c r="I104" t="s">
        <v>377</v>
      </c>
      <c r="J104" t="s">
        <v>125</v>
      </c>
      <c r="K104" t="s">
        <v>111</v>
      </c>
      <c r="L104" t="s">
        <v>18</v>
      </c>
      <c r="M104" t="s">
        <v>46</v>
      </c>
      <c r="N104" t="s">
        <v>84</v>
      </c>
      <c r="O104">
        <v>6669</v>
      </c>
      <c r="P104">
        <v>6195</v>
      </c>
      <c r="Q104" t="str">
        <f t="shared" si="2"/>
        <v>Pending</v>
      </c>
      <c r="R104">
        <f t="shared" si="3"/>
        <v>474</v>
      </c>
    </row>
    <row r="105" spans="1:18">
      <c r="A105">
        <v>104</v>
      </c>
      <c r="B105" t="s">
        <v>455</v>
      </c>
      <c r="C105" t="s">
        <v>456</v>
      </c>
      <c r="D105" t="s">
        <v>36</v>
      </c>
      <c r="E105" t="s">
        <v>152</v>
      </c>
      <c r="F105" t="s">
        <v>74</v>
      </c>
      <c r="G105" t="s">
        <v>457</v>
      </c>
      <c r="H105" t="s">
        <v>27</v>
      </c>
      <c r="I105" t="s">
        <v>458</v>
      </c>
      <c r="J105" t="s">
        <v>95</v>
      </c>
      <c r="K105" t="s">
        <v>96</v>
      </c>
      <c r="L105" t="s">
        <v>21</v>
      </c>
      <c r="M105" t="s">
        <v>45</v>
      </c>
      <c r="N105" t="s">
        <v>77</v>
      </c>
      <c r="O105">
        <v>48495</v>
      </c>
      <c r="P105">
        <v>38002</v>
      </c>
      <c r="Q105" t="str">
        <f t="shared" si="2"/>
        <v>Pending</v>
      </c>
      <c r="R105">
        <f t="shared" si="3"/>
        <v>10493</v>
      </c>
    </row>
    <row r="106" spans="1:18">
      <c r="A106">
        <v>105</v>
      </c>
      <c r="B106" t="s">
        <v>459</v>
      </c>
      <c r="C106" t="s">
        <v>460</v>
      </c>
      <c r="D106" t="s">
        <v>28</v>
      </c>
      <c r="E106" t="s">
        <v>65</v>
      </c>
      <c r="F106" t="s">
        <v>88</v>
      </c>
      <c r="G106" t="s">
        <v>461</v>
      </c>
      <c r="H106" t="s">
        <v>19</v>
      </c>
      <c r="I106" t="s">
        <v>234</v>
      </c>
      <c r="J106" t="s">
        <v>125</v>
      </c>
      <c r="K106" t="s">
        <v>111</v>
      </c>
      <c r="L106" t="s">
        <v>18</v>
      </c>
      <c r="M106" t="s">
        <v>46</v>
      </c>
      <c r="N106" t="s">
        <v>84</v>
      </c>
      <c r="O106">
        <v>48828</v>
      </c>
      <c r="P106">
        <v>4193</v>
      </c>
      <c r="Q106" t="str">
        <f t="shared" si="2"/>
        <v>Pending</v>
      </c>
      <c r="R106">
        <f t="shared" si="3"/>
        <v>44635</v>
      </c>
    </row>
    <row r="107" spans="1:18">
      <c r="A107">
        <v>106</v>
      </c>
      <c r="B107" t="s">
        <v>462</v>
      </c>
      <c r="C107" t="s">
        <v>463</v>
      </c>
      <c r="D107" t="s">
        <v>33</v>
      </c>
      <c r="E107" t="s">
        <v>87</v>
      </c>
      <c r="F107" t="s">
        <v>74</v>
      </c>
      <c r="G107" t="s">
        <v>464</v>
      </c>
      <c r="H107" t="s">
        <v>29</v>
      </c>
      <c r="I107" t="s">
        <v>275</v>
      </c>
      <c r="J107" t="s">
        <v>83</v>
      </c>
      <c r="K107" t="s">
        <v>83</v>
      </c>
      <c r="L107" t="s">
        <v>24</v>
      </c>
      <c r="M107" t="s">
        <v>50</v>
      </c>
      <c r="N107" t="s">
        <v>77</v>
      </c>
      <c r="O107">
        <v>32560</v>
      </c>
      <c r="P107">
        <v>5954</v>
      </c>
      <c r="Q107" t="str">
        <f t="shared" si="2"/>
        <v>Pending</v>
      </c>
      <c r="R107">
        <f t="shared" si="3"/>
        <v>26606</v>
      </c>
    </row>
    <row r="108" spans="1:18">
      <c r="A108">
        <v>107</v>
      </c>
      <c r="B108" t="s">
        <v>465</v>
      </c>
      <c r="C108" t="s">
        <v>466</v>
      </c>
      <c r="D108" t="s">
        <v>43</v>
      </c>
      <c r="E108" t="s">
        <v>152</v>
      </c>
      <c r="F108" t="s">
        <v>88</v>
      </c>
      <c r="G108" t="s">
        <v>467</v>
      </c>
      <c r="H108" t="s">
        <v>25</v>
      </c>
      <c r="I108" t="s">
        <v>325</v>
      </c>
      <c r="J108" t="s">
        <v>110</v>
      </c>
      <c r="K108" t="s">
        <v>111</v>
      </c>
      <c r="L108" t="s">
        <v>18</v>
      </c>
      <c r="M108" t="s">
        <v>48</v>
      </c>
      <c r="N108" t="s">
        <v>71</v>
      </c>
      <c r="O108">
        <v>20950</v>
      </c>
      <c r="P108">
        <v>20826</v>
      </c>
      <c r="Q108" t="str">
        <f t="shared" si="2"/>
        <v>Pending</v>
      </c>
      <c r="R108">
        <f t="shared" si="3"/>
        <v>124</v>
      </c>
    </row>
    <row r="109" spans="1:18">
      <c r="A109">
        <v>108</v>
      </c>
      <c r="B109" t="s">
        <v>468</v>
      </c>
      <c r="C109" t="s">
        <v>469</v>
      </c>
      <c r="D109" t="s">
        <v>17</v>
      </c>
      <c r="E109" t="s">
        <v>80</v>
      </c>
      <c r="F109" t="s">
        <v>118</v>
      </c>
      <c r="G109" t="s">
        <v>470</v>
      </c>
      <c r="H109" t="s">
        <v>27</v>
      </c>
      <c r="I109" t="s">
        <v>82</v>
      </c>
      <c r="J109" t="s">
        <v>95</v>
      </c>
      <c r="K109" t="s">
        <v>96</v>
      </c>
      <c r="L109" t="s">
        <v>21</v>
      </c>
      <c r="M109" t="s">
        <v>45</v>
      </c>
      <c r="N109" t="s">
        <v>84</v>
      </c>
      <c r="O109">
        <v>31123</v>
      </c>
      <c r="P109">
        <v>26760</v>
      </c>
      <c r="Q109" t="str">
        <f t="shared" si="2"/>
        <v>Pending</v>
      </c>
      <c r="R109">
        <f t="shared" si="3"/>
        <v>4363</v>
      </c>
    </row>
    <row r="110" spans="1:18">
      <c r="A110">
        <v>109</v>
      </c>
      <c r="B110" t="s">
        <v>471</v>
      </c>
      <c r="C110" t="s">
        <v>472</v>
      </c>
      <c r="D110" t="s">
        <v>33</v>
      </c>
      <c r="E110" t="s">
        <v>87</v>
      </c>
      <c r="F110" t="s">
        <v>118</v>
      </c>
      <c r="G110" t="s">
        <v>473</v>
      </c>
      <c r="H110" t="s">
        <v>22</v>
      </c>
      <c r="I110" t="s">
        <v>474</v>
      </c>
      <c r="J110" t="s">
        <v>83</v>
      </c>
      <c r="K110" t="s">
        <v>83</v>
      </c>
      <c r="L110" t="s">
        <v>24</v>
      </c>
      <c r="M110" t="s">
        <v>42</v>
      </c>
      <c r="N110" t="s">
        <v>84</v>
      </c>
      <c r="O110">
        <v>8294</v>
      </c>
      <c r="P110">
        <v>4987</v>
      </c>
      <c r="Q110" t="str">
        <f t="shared" si="2"/>
        <v>Pending</v>
      </c>
      <c r="R110">
        <f t="shared" si="3"/>
        <v>3307</v>
      </c>
    </row>
    <row r="111" spans="1:18">
      <c r="A111">
        <v>110</v>
      </c>
      <c r="B111" t="s">
        <v>475</v>
      </c>
      <c r="C111" t="s">
        <v>476</v>
      </c>
      <c r="D111" t="s">
        <v>32</v>
      </c>
      <c r="E111" t="s">
        <v>87</v>
      </c>
      <c r="F111" t="s">
        <v>66</v>
      </c>
      <c r="G111" t="s">
        <v>477</v>
      </c>
      <c r="H111" t="s">
        <v>22</v>
      </c>
      <c r="I111" t="s">
        <v>76</v>
      </c>
      <c r="J111" t="s">
        <v>83</v>
      </c>
      <c r="K111" t="s">
        <v>83</v>
      </c>
      <c r="L111" t="s">
        <v>24</v>
      </c>
      <c r="M111" t="s">
        <v>42</v>
      </c>
      <c r="N111" t="s">
        <v>77</v>
      </c>
      <c r="O111">
        <v>9586</v>
      </c>
      <c r="P111">
        <v>4373</v>
      </c>
      <c r="Q111" t="str">
        <f t="shared" si="2"/>
        <v>Pending</v>
      </c>
      <c r="R111">
        <f t="shared" si="3"/>
        <v>5213</v>
      </c>
    </row>
    <row r="112" spans="1:18">
      <c r="A112">
        <v>111</v>
      </c>
      <c r="B112" t="s">
        <v>478</v>
      </c>
      <c r="C112" t="s">
        <v>479</v>
      </c>
      <c r="D112" t="s">
        <v>43</v>
      </c>
      <c r="E112" t="s">
        <v>152</v>
      </c>
      <c r="F112" t="s">
        <v>118</v>
      </c>
      <c r="G112" t="s">
        <v>480</v>
      </c>
      <c r="H112" t="s">
        <v>22</v>
      </c>
      <c r="I112" t="s">
        <v>238</v>
      </c>
      <c r="J112" t="s">
        <v>69</v>
      </c>
      <c r="K112" t="s">
        <v>70</v>
      </c>
      <c r="L112" t="s">
        <v>21</v>
      </c>
      <c r="M112" t="s">
        <v>45</v>
      </c>
      <c r="N112" t="s">
        <v>71</v>
      </c>
      <c r="O112">
        <v>12151</v>
      </c>
      <c r="P112">
        <v>6021</v>
      </c>
      <c r="Q112" t="str">
        <f t="shared" si="2"/>
        <v>Pending</v>
      </c>
      <c r="R112">
        <f t="shared" si="3"/>
        <v>6130</v>
      </c>
    </row>
    <row r="113" spans="1:18">
      <c r="A113">
        <v>112</v>
      </c>
      <c r="B113" t="s">
        <v>481</v>
      </c>
      <c r="C113" t="s">
        <v>482</v>
      </c>
      <c r="D113" t="s">
        <v>33</v>
      </c>
      <c r="E113" t="s">
        <v>87</v>
      </c>
      <c r="F113" t="s">
        <v>99</v>
      </c>
      <c r="G113" t="s">
        <v>483</v>
      </c>
      <c r="H113" t="s">
        <v>29</v>
      </c>
      <c r="I113" t="s">
        <v>267</v>
      </c>
      <c r="J113" t="s">
        <v>125</v>
      </c>
      <c r="K113" t="s">
        <v>111</v>
      </c>
      <c r="L113" t="s">
        <v>18</v>
      </c>
      <c r="M113" t="s">
        <v>48</v>
      </c>
      <c r="N113" t="s">
        <v>71</v>
      </c>
      <c r="O113">
        <v>32545</v>
      </c>
      <c r="P113">
        <v>14279</v>
      </c>
      <c r="Q113" t="str">
        <f t="shared" si="2"/>
        <v>Pending</v>
      </c>
      <c r="R113">
        <f t="shared" si="3"/>
        <v>18266</v>
      </c>
    </row>
    <row r="114" spans="1:18">
      <c r="A114">
        <v>113</v>
      </c>
      <c r="B114" t="s">
        <v>484</v>
      </c>
      <c r="C114" t="s">
        <v>485</v>
      </c>
      <c r="D114" t="s">
        <v>33</v>
      </c>
      <c r="E114" t="s">
        <v>87</v>
      </c>
      <c r="F114" t="s">
        <v>88</v>
      </c>
      <c r="G114" t="s">
        <v>486</v>
      </c>
      <c r="H114" t="s">
        <v>19</v>
      </c>
      <c r="I114" t="s">
        <v>433</v>
      </c>
      <c r="J114" t="s">
        <v>83</v>
      </c>
      <c r="K114" t="s">
        <v>83</v>
      </c>
      <c r="L114" t="s">
        <v>24</v>
      </c>
      <c r="M114" t="s">
        <v>50</v>
      </c>
      <c r="N114" t="s">
        <v>77</v>
      </c>
      <c r="O114">
        <v>25874</v>
      </c>
      <c r="P114">
        <v>16851</v>
      </c>
      <c r="Q114" t="str">
        <f t="shared" si="2"/>
        <v>Pending</v>
      </c>
      <c r="R114">
        <f t="shared" si="3"/>
        <v>9023</v>
      </c>
    </row>
    <row r="115" spans="1:18">
      <c r="A115">
        <v>114</v>
      </c>
      <c r="B115" t="s">
        <v>487</v>
      </c>
      <c r="C115" t="s">
        <v>488</v>
      </c>
      <c r="D115" t="s">
        <v>28</v>
      </c>
      <c r="E115" t="s">
        <v>65</v>
      </c>
      <c r="F115" t="s">
        <v>88</v>
      </c>
      <c r="G115" t="s">
        <v>489</v>
      </c>
      <c r="H115" t="s">
        <v>27</v>
      </c>
      <c r="I115" t="s">
        <v>145</v>
      </c>
      <c r="J115" t="s">
        <v>83</v>
      </c>
      <c r="K115" t="s">
        <v>83</v>
      </c>
      <c r="L115" t="s">
        <v>24</v>
      </c>
      <c r="M115" t="s">
        <v>45</v>
      </c>
      <c r="N115" t="s">
        <v>77</v>
      </c>
      <c r="O115">
        <v>14823</v>
      </c>
      <c r="P115">
        <v>0</v>
      </c>
      <c r="Q115" t="str">
        <f t="shared" si="2"/>
        <v>Pending</v>
      </c>
      <c r="R115">
        <f t="shared" si="3"/>
        <v>14823</v>
      </c>
    </row>
    <row r="116" spans="1:18">
      <c r="A116">
        <v>115</v>
      </c>
      <c r="B116" t="s">
        <v>490</v>
      </c>
      <c r="C116" t="s">
        <v>491</v>
      </c>
      <c r="D116" t="s">
        <v>28</v>
      </c>
      <c r="E116" t="s">
        <v>65</v>
      </c>
      <c r="F116" t="s">
        <v>74</v>
      </c>
      <c r="G116" t="s">
        <v>492</v>
      </c>
      <c r="H116" t="s">
        <v>29</v>
      </c>
      <c r="I116" t="s">
        <v>332</v>
      </c>
      <c r="J116" t="s">
        <v>83</v>
      </c>
      <c r="K116" t="s">
        <v>83</v>
      </c>
      <c r="L116" t="s">
        <v>24</v>
      </c>
      <c r="M116" t="s">
        <v>46</v>
      </c>
      <c r="N116" t="s">
        <v>77</v>
      </c>
      <c r="O116">
        <v>44799</v>
      </c>
      <c r="P116">
        <v>38871</v>
      </c>
      <c r="Q116" t="str">
        <f t="shared" si="2"/>
        <v>Pending</v>
      </c>
      <c r="R116">
        <f t="shared" si="3"/>
        <v>5928</v>
      </c>
    </row>
    <row r="117" spans="1:18">
      <c r="A117">
        <v>116</v>
      </c>
      <c r="B117" t="s">
        <v>493</v>
      </c>
      <c r="C117" t="s">
        <v>494</v>
      </c>
      <c r="D117" t="s">
        <v>23</v>
      </c>
      <c r="E117" t="s">
        <v>80</v>
      </c>
      <c r="F117" t="s">
        <v>66</v>
      </c>
      <c r="G117" t="s">
        <v>495</v>
      </c>
      <c r="H117" t="s">
        <v>25</v>
      </c>
      <c r="I117" t="s">
        <v>433</v>
      </c>
      <c r="J117" t="s">
        <v>83</v>
      </c>
      <c r="K117" t="s">
        <v>83</v>
      </c>
      <c r="L117" t="s">
        <v>24</v>
      </c>
      <c r="M117" t="s">
        <v>46</v>
      </c>
      <c r="N117" t="s">
        <v>84</v>
      </c>
      <c r="O117">
        <v>11001</v>
      </c>
      <c r="P117">
        <v>2812</v>
      </c>
      <c r="Q117" t="str">
        <f t="shared" si="2"/>
        <v>Pending</v>
      </c>
      <c r="R117">
        <f t="shared" si="3"/>
        <v>8189</v>
      </c>
    </row>
    <row r="118" spans="1:18">
      <c r="A118">
        <v>117</v>
      </c>
      <c r="B118" t="s">
        <v>496</v>
      </c>
      <c r="C118" t="s">
        <v>497</v>
      </c>
      <c r="D118" t="s">
        <v>26</v>
      </c>
      <c r="E118" t="s">
        <v>65</v>
      </c>
      <c r="F118" t="s">
        <v>88</v>
      </c>
      <c r="G118" t="s">
        <v>498</v>
      </c>
      <c r="H118" t="s">
        <v>29</v>
      </c>
      <c r="I118" t="s">
        <v>133</v>
      </c>
      <c r="J118" t="s">
        <v>110</v>
      </c>
      <c r="K118" t="s">
        <v>111</v>
      </c>
      <c r="L118" t="s">
        <v>18</v>
      </c>
      <c r="M118" t="s">
        <v>48</v>
      </c>
      <c r="N118" t="s">
        <v>71</v>
      </c>
      <c r="O118">
        <v>49725</v>
      </c>
      <c r="P118">
        <v>19194</v>
      </c>
      <c r="Q118" t="str">
        <f t="shared" si="2"/>
        <v>Pending</v>
      </c>
      <c r="R118">
        <f t="shared" si="3"/>
        <v>30531</v>
      </c>
    </row>
    <row r="119" spans="1:18">
      <c r="A119">
        <v>118</v>
      </c>
      <c r="B119" t="s">
        <v>499</v>
      </c>
      <c r="C119" t="s">
        <v>500</v>
      </c>
      <c r="D119" t="s">
        <v>23</v>
      </c>
      <c r="E119" t="s">
        <v>80</v>
      </c>
      <c r="F119" t="s">
        <v>99</v>
      </c>
      <c r="G119" t="s">
        <v>501</v>
      </c>
      <c r="H119" t="s">
        <v>19</v>
      </c>
      <c r="I119" t="s">
        <v>306</v>
      </c>
      <c r="J119" t="s">
        <v>83</v>
      </c>
      <c r="K119" t="s">
        <v>83</v>
      </c>
      <c r="L119" t="s">
        <v>24</v>
      </c>
      <c r="M119" t="s">
        <v>48</v>
      </c>
      <c r="N119" t="s">
        <v>84</v>
      </c>
      <c r="O119">
        <v>26465</v>
      </c>
      <c r="P119">
        <v>5764</v>
      </c>
      <c r="Q119" t="str">
        <f t="shared" si="2"/>
        <v>Pending</v>
      </c>
      <c r="R119">
        <f t="shared" si="3"/>
        <v>20701</v>
      </c>
    </row>
    <row r="120" spans="1:18">
      <c r="A120">
        <v>119</v>
      </c>
      <c r="B120" t="s">
        <v>502</v>
      </c>
      <c r="C120" t="s">
        <v>503</v>
      </c>
      <c r="D120" t="s">
        <v>30</v>
      </c>
      <c r="E120" t="s">
        <v>65</v>
      </c>
      <c r="F120" t="s">
        <v>99</v>
      </c>
      <c r="G120" t="s">
        <v>504</v>
      </c>
      <c r="H120" t="s">
        <v>25</v>
      </c>
      <c r="I120" t="s">
        <v>505</v>
      </c>
      <c r="J120" t="s">
        <v>125</v>
      </c>
      <c r="K120" t="s">
        <v>111</v>
      </c>
      <c r="L120" t="s">
        <v>18</v>
      </c>
      <c r="M120" t="s">
        <v>42</v>
      </c>
      <c r="N120" t="s">
        <v>84</v>
      </c>
      <c r="O120">
        <v>12155</v>
      </c>
      <c r="P120">
        <v>9492</v>
      </c>
      <c r="Q120" t="str">
        <f t="shared" si="2"/>
        <v>Pending</v>
      </c>
      <c r="R120">
        <f t="shared" si="3"/>
        <v>2663</v>
      </c>
    </row>
    <row r="121" spans="1:18">
      <c r="A121">
        <v>120</v>
      </c>
      <c r="B121" t="s">
        <v>506</v>
      </c>
      <c r="C121" t="s">
        <v>507</v>
      </c>
      <c r="D121" t="s">
        <v>23</v>
      </c>
      <c r="E121" t="s">
        <v>80</v>
      </c>
      <c r="F121" t="s">
        <v>74</v>
      </c>
      <c r="G121" t="s">
        <v>508</v>
      </c>
      <c r="H121" t="s">
        <v>29</v>
      </c>
      <c r="I121" t="s">
        <v>115</v>
      </c>
      <c r="J121" t="s">
        <v>95</v>
      </c>
      <c r="K121" t="s">
        <v>96</v>
      </c>
      <c r="L121" t="s">
        <v>21</v>
      </c>
      <c r="M121" t="s">
        <v>48</v>
      </c>
      <c r="N121" t="s">
        <v>77</v>
      </c>
      <c r="O121">
        <v>40689</v>
      </c>
      <c r="P121">
        <v>32810</v>
      </c>
      <c r="Q121" t="str">
        <f t="shared" si="2"/>
        <v>Pending</v>
      </c>
      <c r="R121">
        <f t="shared" si="3"/>
        <v>7879</v>
      </c>
    </row>
    <row r="122" spans="1:18">
      <c r="A122">
        <v>121</v>
      </c>
      <c r="B122" t="s">
        <v>509</v>
      </c>
      <c r="C122" t="s">
        <v>510</v>
      </c>
      <c r="D122" t="s">
        <v>32</v>
      </c>
      <c r="E122" t="s">
        <v>87</v>
      </c>
      <c r="F122" t="s">
        <v>88</v>
      </c>
      <c r="G122" t="s">
        <v>511</v>
      </c>
      <c r="H122" t="s">
        <v>22</v>
      </c>
      <c r="I122" t="s">
        <v>242</v>
      </c>
      <c r="J122" t="s">
        <v>95</v>
      </c>
      <c r="K122" t="s">
        <v>96</v>
      </c>
      <c r="L122" t="s">
        <v>21</v>
      </c>
      <c r="M122" t="s">
        <v>50</v>
      </c>
      <c r="N122" t="s">
        <v>84</v>
      </c>
      <c r="O122">
        <v>25923</v>
      </c>
      <c r="P122">
        <v>23533</v>
      </c>
      <c r="Q122" t="str">
        <f t="shared" si="2"/>
        <v>Pending</v>
      </c>
      <c r="R122">
        <f t="shared" si="3"/>
        <v>2390</v>
      </c>
    </row>
    <row r="123" spans="1:18">
      <c r="A123">
        <v>122</v>
      </c>
      <c r="B123" t="s">
        <v>512</v>
      </c>
      <c r="C123" t="s">
        <v>513</v>
      </c>
      <c r="D123" t="s">
        <v>23</v>
      </c>
      <c r="E123" t="s">
        <v>80</v>
      </c>
      <c r="F123" t="s">
        <v>66</v>
      </c>
      <c r="G123" t="s">
        <v>514</v>
      </c>
      <c r="H123" t="s">
        <v>22</v>
      </c>
      <c r="I123" t="s">
        <v>170</v>
      </c>
      <c r="J123" t="s">
        <v>110</v>
      </c>
      <c r="K123" t="s">
        <v>111</v>
      </c>
      <c r="L123" t="s">
        <v>18</v>
      </c>
      <c r="M123" t="s">
        <v>50</v>
      </c>
      <c r="N123" t="s">
        <v>84</v>
      </c>
      <c r="O123">
        <v>10994</v>
      </c>
      <c r="P123">
        <v>5537</v>
      </c>
      <c r="Q123" t="str">
        <f t="shared" si="2"/>
        <v>Pending</v>
      </c>
      <c r="R123">
        <f t="shared" si="3"/>
        <v>5457</v>
      </c>
    </row>
    <row r="124" spans="1:18">
      <c r="A124">
        <v>123</v>
      </c>
      <c r="B124" t="s">
        <v>515</v>
      </c>
      <c r="C124" t="s">
        <v>516</v>
      </c>
      <c r="D124" t="s">
        <v>33</v>
      </c>
      <c r="E124" t="s">
        <v>87</v>
      </c>
      <c r="F124" t="s">
        <v>66</v>
      </c>
      <c r="G124" t="s">
        <v>517</v>
      </c>
      <c r="H124" t="s">
        <v>27</v>
      </c>
      <c r="I124" t="s">
        <v>115</v>
      </c>
      <c r="J124" t="s">
        <v>110</v>
      </c>
      <c r="K124" t="s">
        <v>111</v>
      </c>
      <c r="L124" t="s">
        <v>18</v>
      </c>
      <c r="M124" t="s">
        <v>48</v>
      </c>
      <c r="N124" t="s">
        <v>71</v>
      </c>
      <c r="O124">
        <v>45834</v>
      </c>
      <c r="P124">
        <v>24597</v>
      </c>
      <c r="Q124" t="str">
        <f t="shared" si="2"/>
        <v>Pending</v>
      </c>
      <c r="R124">
        <f t="shared" si="3"/>
        <v>21237</v>
      </c>
    </row>
    <row r="125" spans="1:18">
      <c r="A125">
        <v>124</v>
      </c>
      <c r="B125" t="s">
        <v>518</v>
      </c>
      <c r="C125" t="s">
        <v>519</v>
      </c>
      <c r="D125" t="s">
        <v>43</v>
      </c>
      <c r="E125" t="s">
        <v>152</v>
      </c>
      <c r="F125" t="s">
        <v>88</v>
      </c>
      <c r="G125" t="s">
        <v>520</v>
      </c>
      <c r="H125" t="s">
        <v>19</v>
      </c>
      <c r="I125" t="s">
        <v>212</v>
      </c>
      <c r="J125" t="s">
        <v>95</v>
      </c>
      <c r="K125" t="s">
        <v>96</v>
      </c>
      <c r="L125" t="s">
        <v>21</v>
      </c>
      <c r="M125" t="s">
        <v>50</v>
      </c>
      <c r="N125" t="s">
        <v>77</v>
      </c>
      <c r="O125">
        <v>28368</v>
      </c>
      <c r="P125">
        <v>16945</v>
      </c>
      <c r="Q125" t="str">
        <f t="shared" si="2"/>
        <v>Pending</v>
      </c>
      <c r="R125">
        <f t="shared" si="3"/>
        <v>11423</v>
      </c>
    </row>
    <row r="126" spans="1:18">
      <c r="A126">
        <v>125</v>
      </c>
      <c r="B126" t="s">
        <v>521</v>
      </c>
      <c r="C126" t="s">
        <v>522</v>
      </c>
      <c r="D126" t="s">
        <v>40</v>
      </c>
      <c r="E126" t="s">
        <v>152</v>
      </c>
      <c r="F126" t="s">
        <v>88</v>
      </c>
      <c r="G126" t="s">
        <v>523</v>
      </c>
      <c r="H126" t="s">
        <v>22</v>
      </c>
      <c r="I126" t="s">
        <v>524</v>
      </c>
      <c r="J126" t="s">
        <v>110</v>
      </c>
      <c r="K126" t="s">
        <v>111</v>
      </c>
      <c r="L126" t="s">
        <v>18</v>
      </c>
      <c r="M126" t="s">
        <v>45</v>
      </c>
      <c r="N126" t="s">
        <v>77</v>
      </c>
      <c r="O126">
        <v>7884</v>
      </c>
      <c r="P126">
        <v>6170</v>
      </c>
      <c r="Q126" t="str">
        <f t="shared" si="2"/>
        <v>Pending</v>
      </c>
      <c r="R126">
        <f t="shared" si="3"/>
        <v>1714</v>
      </c>
    </row>
    <row r="127" spans="1:18">
      <c r="A127">
        <v>126</v>
      </c>
      <c r="B127" t="s">
        <v>525</v>
      </c>
      <c r="C127" t="s">
        <v>526</v>
      </c>
      <c r="D127" t="s">
        <v>20</v>
      </c>
      <c r="E127" t="s">
        <v>80</v>
      </c>
      <c r="F127" t="s">
        <v>99</v>
      </c>
      <c r="G127" t="s">
        <v>527</v>
      </c>
      <c r="H127" t="s">
        <v>22</v>
      </c>
      <c r="I127" t="s">
        <v>413</v>
      </c>
      <c r="J127" t="s">
        <v>125</v>
      </c>
      <c r="K127" t="s">
        <v>111</v>
      </c>
      <c r="L127" t="s">
        <v>18</v>
      </c>
      <c r="M127" t="s">
        <v>42</v>
      </c>
      <c r="N127" t="s">
        <v>84</v>
      </c>
      <c r="O127">
        <v>29194</v>
      </c>
      <c r="P127">
        <v>1532</v>
      </c>
      <c r="Q127" t="str">
        <f t="shared" si="2"/>
        <v>Pending</v>
      </c>
      <c r="R127">
        <f t="shared" si="3"/>
        <v>27662</v>
      </c>
    </row>
    <row r="128" spans="1:18">
      <c r="A128">
        <v>127</v>
      </c>
      <c r="B128" t="s">
        <v>528</v>
      </c>
      <c r="C128" t="s">
        <v>529</v>
      </c>
      <c r="D128" t="s">
        <v>17</v>
      </c>
      <c r="E128" t="s">
        <v>80</v>
      </c>
      <c r="F128" t="s">
        <v>74</v>
      </c>
      <c r="G128" t="s">
        <v>530</v>
      </c>
      <c r="H128" t="s">
        <v>22</v>
      </c>
      <c r="I128" t="s">
        <v>531</v>
      </c>
      <c r="J128" t="s">
        <v>95</v>
      </c>
      <c r="K128" t="s">
        <v>96</v>
      </c>
      <c r="L128" t="s">
        <v>21</v>
      </c>
      <c r="M128" t="s">
        <v>46</v>
      </c>
      <c r="N128" t="s">
        <v>84</v>
      </c>
      <c r="O128">
        <v>30208</v>
      </c>
      <c r="P128">
        <v>22149</v>
      </c>
      <c r="Q128" t="str">
        <f t="shared" si="2"/>
        <v>Pending</v>
      </c>
      <c r="R128">
        <f t="shared" si="3"/>
        <v>8059</v>
      </c>
    </row>
    <row r="129" spans="1:18">
      <c r="A129">
        <v>128</v>
      </c>
      <c r="B129" t="s">
        <v>532</v>
      </c>
      <c r="C129" t="s">
        <v>533</v>
      </c>
      <c r="D129" t="s">
        <v>36</v>
      </c>
      <c r="E129" t="s">
        <v>152</v>
      </c>
      <c r="F129" t="s">
        <v>99</v>
      </c>
      <c r="G129" t="s">
        <v>534</v>
      </c>
      <c r="H129" t="s">
        <v>25</v>
      </c>
      <c r="I129" t="s">
        <v>352</v>
      </c>
      <c r="J129" t="s">
        <v>110</v>
      </c>
      <c r="K129" t="s">
        <v>111</v>
      </c>
      <c r="L129" t="s">
        <v>18</v>
      </c>
      <c r="M129" t="s">
        <v>42</v>
      </c>
      <c r="N129" t="s">
        <v>71</v>
      </c>
      <c r="O129">
        <v>19406</v>
      </c>
      <c r="P129">
        <v>1735</v>
      </c>
      <c r="Q129" t="str">
        <f t="shared" si="2"/>
        <v>Pending</v>
      </c>
      <c r="R129">
        <f t="shared" si="3"/>
        <v>17671</v>
      </c>
    </row>
    <row r="130" spans="1:18">
      <c r="A130">
        <v>129</v>
      </c>
      <c r="B130" t="s">
        <v>535</v>
      </c>
      <c r="C130" t="s">
        <v>536</v>
      </c>
      <c r="D130" t="s">
        <v>20</v>
      </c>
      <c r="E130" t="s">
        <v>80</v>
      </c>
      <c r="F130" t="s">
        <v>99</v>
      </c>
      <c r="G130" t="s">
        <v>537</v>
      </c>
      <c r="H130" t="s">
        <v>29</v>
      </c>
      <c r="I130" t="s">
        <v>90</v>
      </c>
      <c r="J130" t="s">
        <v>69</v>
      </c>
      <c r="K130" t="s">
        <v>70</v>
      </c>
      <c r="L130" t="s">
        <v>21</v>
      </c>
      <c r="M130" t="s">
        <v>46</v>
      </c>
      <c r="N130" t="s">
        <v>84</v>
      </c>
      <c r="O130">
        <v>11159</v>
      </c>
      <c r="P130">
        <v>3971</v>
      </c>
      <c r="Q130" t="str">
        <f t="shared" ref="Q130:Q193" si="4">IF(R130=0,"Received","Pending")</f>
        <v>Pending</v>
      </c>
      <c r="R130">
        <f t="shared" ref="R130:R193" si="5">O130-P130</f>
        <v>7188</v>
      </c>
    </row>
    <row r="131" spans="1:18">
      <c r="A131">
        <v>130</v>
      </c>
      <c r="B131" t="s">
        <v>538</v>
      </c>
      <c r="C131" t="s">
        <v>539</v>
      </c>
      <c r="D131" t="s">
        <v>26</v>
      </c>
      <c r="E131" t="s">
        <v>65</v>
      </c>
      <c r="F131" t="s">
        <v>118</v>
      </c>
      <c r="G131" t="s">
        <v>540</v>
      </c>
      <c r="H131" t="s">
        <v>22</v>
      </c>
      <c r="I131" t="s">
        <v>541</v>
      </c>
      <c r="J131" t="s">
        <v>125</v>
      </c>
      <c r="K131" t="s">
        <v>111</v>
      </c>
      <c r="L131" t="s">
        <v>18</v>
      </c>
      <c r="M131" t="s">
        <v>48</v>
      </c>
      <c r="N131" t="s">
        <v>84</v>
      </c>
      <c r="O131">
        <v>41046</v>
      </c>
      <c r="P131">
        <v>22457</v>
      </c>
      <c r="Q131" t="str">
        <f t="shared" si="4"/>
        <v>Pending</v>
      </c>
      <c r="R131">
        <f t="shared" si="5"/>
        <v>18589</v>
      </c>
    </row>
    <row r="132" spans="1:18">
      <c r="A132">
        <v>131</v>
      </c>
      <c r="B132" t="s">
        <v>542</v>
      </c>
      <c r="C132" t="s">
        <v>543</v>
      </c>
      <c r="D132" t="s">
        <v>40</v>
      </c>
      <c r="E132" t="s">
        <v>152</v>
      </c>
      <c r="F132" t="s">
        <v>66</v>
      </c>
      <c r="G132" t="s">
        <v>544</v>
      </c>
      <c r="H132" t="s">
        <v>25</v>
      </c>
      <c r="I132" t="s">
        <v>190</v>
      </c>
      <c r="J132" t="s">
        <v>69</v>
      </c>
      <c r="K132" t="s">
        <v>70</v>
      </c>
      <c r="L132" t="s">
        <v>21</v>
      </c>
      <c r="M132" t="s">
        <v>42</v>
      </c>
      <c r="N132" t="s">
        <v>71</v>
      </c>
      <c r="O132">
        <v>31985</v>
      </c>
      <c r="P132">
        <v>23245</v>
      </c>
      <c r="Q132" t="str">
        <f t="shared" si="4"/>
        <v>Pending</v>
      </c>
      <c r="R132">
        <f t="shared" si="5"/>
        <v>8740</v>
      </c>
    </row>
    <row r="133" spans="1:18">
      <c r="A133">
        <v>132</v>
      </c>
      <c r="B133" t="s">
        <v>545</v>
      </c>
      <c r="C133" t="s">
        <v>546</v>
      </c>
      <c r="D133" t="s">
        <v>31</v>
      </c>
      <c r="E133" t="s">
        <v>87</v>
      </c>
      <c r="F133" t="s">
        <v>99</v>
      </c>
      <c r="G133" t="s">
        <v>547</v>
      </c>
      <c r="H133" t="s">
        <v>29</v>
      </c>
      <c r="I133" t="s">
        <v>548</v>
      </c>
      <c r="J133" t="s">
        <v>110</v>
      </c>
      <c r="K133" t="s">
        <v>111</v>
      </c>
      <c r="L133" t="s">
        <v>18</v>
      </c>
      <c r="M133" t="s">
        <v>46</v>
      </c>
      <c r="N133" t="s">
        <v>84</v>
      </c>
      <c r="O133">
        <v>43475</v>
      </c>
      <c r="P133">
        <v>42845</v>
      </c>
      <c r="Q133" t="str">
        <f t="shared" si="4"/>
        <v>Pending</v>
      </c>
      <c r="R133">
        <f t="shared" si="5"/>
        <v>630</v>
      </c>
    </row>
    <row r="134" spans="1:18">
      <c r="A134">
        <v>133</v>
      </c>
      <c r="B134" t="s">
        <v>549</v>
      </c>
      <c r="C134" t="s">
        <v>550</v>
      </c>
      <c r="D134" t="s">
        <v>26</v>
      </c>
      <c r="E134" t="s">
        <v>65</v>
      </c>
      <c r="F134" t="s">
        <v>74</v>
      </c>
      <c r="G134" t="s">
        <v>551</v>
      </c>
      <c r="H134" t="s">
        <v>27</v>
      </c>
      <c r="I134" t="s">
        <v>403</v>
      </c>
      <c r="J134" t="s">
        <v>69</v>
      </c>
      <c r="K134" t="s">
        <v>70</v>
      </c>
      <c r="L134" t="s">
        <v>21</v>
      </c>
      <c r="M134" t="s">
        <v>48</v>
      </c>
      <c r="N134" t="s">
        <v>71</v>
      </c>
      <c r="O134">
        <v>45171</v>
      </c>
      <c r="P134">
        <v>14049</v>
      </c>
      <c r="Q134" t="str">
        <f t="shared" si="4"/>
        <v>Pending</v>
      </c>
      <c r="R134">
        <f t="shared" si="5"/>
        <v>31122</v>
      </c>
    </row>
    <row r="135" spans="1:18">
      <c r="A135">
        <v>134</v>
      </c>
      <c r="B135" t="s">
        <v>552</v>
      </c>
      <c r="C135" t="s">
        <v>553</v>
      </c>
      <c r="D135" t="s">
        <v>31</v>
      </c>
      <c r="E135" t="s">
        <v>87</v>
      </c>
      <c r="F135" t="s">
        <v>66</v>
      </c>
      <c r="G135" t="s">
        <v>554</v>
      </c>
      <c r="H135" t="s">
        <v>19</v>
      </c>
      <c r="I135" t="s">
        <v>68</v>
      </c>
      <c r="J135" t="s">
        <v>83</v>
      </c>
      <c r="K135" t="s">
        <v>83</v>
      </c>
      <c r="L135" t="s">
        <v>24</v>
      </c>
      <c r="M135" t="s">
        <v>42</v>
      </c>
      <c r="N135" t="s">
        <v>71</v>
      </c>
      <c r="O135">
        <v>42982</v>
      </c>
      <c r="P135">
        <v>41737</v>
      </c>
      <c r="Q135" t="str">
        <f t="shared" si="4"/>
        <v>Pending</v>
      </c>
      <c r="R135">
        <f t="shared" si="5"/>
        <v>1245</v>
      </c>
    </row>
    <row r="136" spans="1:18">
      <c r="A136">
        <v>135</v>
      </c>
      <c r="B136" t="s">
        <v>555</v>
      </c>
      <c r="C136" t="s">
        <v>556</v>
      </c>
      <c r="D136" t="s">
        <v>33</v>
      </c>
      <c r="E136" t="s">
        <v>87</v>
      </c>
      <c r="F136" t="s">
        <v>74</v>
      </c>
      <c r="G136" t="s">
        <v>557</v>
      </c>
      <c r="H136" t="s">
        <v>19</v>
      </c>
      <c r="I136" t="s">
        <v>129</v>
      </c>
      <c r="J136" t="s">
        <v>125</v>
      </c>
      <c r="K136" t="s">
        <v>111</v>
      </c>
      <c r="L136" t="s">
        <v>18</v>
      </c>
      <c r="M136" t="s">
        <v>45</v>
      </c>
      <c r="N136" t="s">
        <v>84</v>
      </c>
      <c r="O136">
        <v>39647</v>
      </c>
      <c r="P136">
        <v>7376</v>
      </c>
      <c r="Q136" t="str">
        <f t="shared" si="4"/>
        <v>Pending</v>
      </c>
      <c r="R136">
        <f t="shared" si="5"/>
        <v>32271</v>
      </c>
    </row>
    <row r="137" spans="1:18">
      <c r="A137">
        <v>136</v>
      </c>
      <c r="B137" t="s">
        <v>558</v>
      </c>
      <c r="C137" t="s">
        <v>559</v>
      </c>
      <c r="D137" t="s">
        <v>36</v>
      </c>
      <c r="E137" t="s">
        <v>152</v>
      </c>
      <c r="F137" t="s">
        <v>118</v>
      </c>
      <c r="G137" t="s">
        <v>560</v>
      </c>
      <c r="H137" t="s">
        <v>19</v>
      </c>
      <c r="I137" t="s">
        <v>561</v>
      </c>
      <c r="J137" t="s">
        <v>110</v>
      </c>
      <c r="K137" t="s">
        <v>111</v>
      </c>
      <c r="L137" t="s">
        <v>18</v>
      </c>
      <c r="M137" t="s">
        <v>50</v>
      </c>
      <c r="N137" t="s">
        <v>77</v>
      </c>
      <c r="O137">
        <v>12581</v>
      </c>
      <c r="P137">
        <v>11998</v>
      </c>
      <c r="Q137" t="str">
        <f t="shared" si="4"/>
        <v>Pending</v>
      </c>
      <c r="R137">
        <f t="shared" si="5"/>
        <v>583</v>
      </c>
    </row>
    <row r="138" spans="1:18">
      <c r="A138">
        <v>137</v>
      </c>
      <c r="B138" t="s">
        <v>562</v>
      </c>
      <c r="C138" t="s">
        <v>563</v>
      </c>
      <c r="D138" t="s">
        <v>26</v>
      </c>
      <c r="E138" t="s">
        <v>65</v>
      </c>
      <c r="F138" t="s">
        <v>99</v>
      </c>
      <c r="G138" t="s">
        <v>564</v>
      </c>
      <c r="H138" t="s">
        <v>25</v>
      </c>
      <c r="I138" t="s">
        <v>145</v>
      </c>
      <c r="J138" t="s">
        <v>69</v>
      </c>
      <c r="K138" t="s">
        <v>70</v>
      </c>
      <c r="L138" t="s">
        <v>21</v>
      </c>
      <c r="M138" t="s">
        <v>42</v>
      </c>
      <c r="N138" t="s">
        <v>71</v>
      </c>
      <c r="O138">
        <v>30544</v>
      </c>
      <c r="P138">
        <v>30156</v>
      </c>
      <c r="Q138" t="str">
        <f t="shared" si="4"/>
        <v>Pending</v>
      </c>
      <c r="R138">
        <f t="shared" si="5"/>
        <v>388</v>
      </c>
    </row>
    <row r="139" spans="1:18">
      <c r="A139">
        <v>138</v>
      </c>
      <c r="B139" t="s">
        <v>565</v>
      </c>
      <c r="C139" t="s">
        <v>566</v>
      </c>
      <c r="D139" t="s">
        <v>36</v>
      </c>
      <c r="E139" t="s">
        <v>152</v>
      </c>
      <c r="F139" t="s">
        <v>74</v>
      </c>
      <c r="G139" t="s">
        <v>567</v>
      </c>
      <c r="H139" t="s">
        <v>25</v>
      </c>
      <c r="I139" t="s">
        <v>166</v>
      </c>
      <c r="J139" t="s">
        <v>125</v>
      </c>
      <c r="K139" t="s">
        <v>111</v>
      </c>
      <c r="L139" t="s">
        <v>18</v>
      </c>
      <c r="M139" t="s">
        <v>46</v>
      </c>
      <c r="N139" t="s">
        <v>77</v>
      </c>
      <c r="O139">
        <v>42978</v>
      </c>
      <c r="P139">
        <v>19173</v>
      </c>
      <c r="Q139" t="str">
        <f t="shared" si="4"/>
        <v>Pending</v>
      </c>
      <c r="R139">
        <f t="shared" si="5"/>
        <v>23805</v>
      </c>
    </row>
    <row r="140" spans="1:18">
      <c r="A140">
        <v>139</v>
      </c>
      <c r="B140" t="s">
        <v>568</v>
      </c>
      <c r="C140" t="s">
        <v>569</v>
      </c>
      <c r="D140" t="s">
        <v>30</v>
      </c>
      <c r="E140" t="s">
        <v>65</v>
      </c>
      <c r="F140" t="s">
        <v>118</v>
      </c>
      <c r="G140" t="s">
        <v>570</v>
      </c>
      <c r="H140" t="s">
        <v>27</v>
      </c>
      <c r="I140" t="s">
        <v>141</v>
      </c>
      <c r="J140" t="s">
        <v>110</v>
      </c>
      <c r="K140" t="s">
        <v>111</v>
      </c>
      <c r="L140" t="s">
        <v>18</v>
      </c>
      <c r="M140" t="s">
        <v>45</v>
      </c>
      <c r="N140" t="s">
        <v>71</v>
      </c>
      <c r="O140">
        <v>42051</v>
      </c>
      <c r="P140">
        <v>10568</v>
      </c>
      <c r="Q140" t="str">
        <f t="shared" si="4"/>
        <v>Pending</v>
      </c>
      <c r="R140">
        <f t="shared" si="5"/>
        <v>31483</v>
      </c>
    </row>
    <row r="141" spans="1:18">
      <c r="A141">
        <v>140</v>
      </c>
      <c r="B141" t="s">
        <v>571</v>
      </c>
      <c r="C141" t="s">
        <v>572</v>
      </c>
      <c r="D141" t="s">
        <v>23</v>
      </c>
      <c r="E141" t="s">
        <v>80</v>
      </c>
      <c r="F141" t="s">
        <v>66</v>
      </c>
      <c r="G141" t="s">
        <v>573</v>
      </c>
      <c r="H141" t="s">
        <v>22</v>
      </c>
      <c r="I141" t="s">
        <v>377</v>
      </c>
      <c r="J141" t="s">
        <v>110</v>
      </c>
      <c r="K141" t="s">
        <v>111</v>
      </c>
      <c r="L141" t="s">
        <v>18</v>
      </c>
      <c r="M141" t="s">
        <v>46</v>
      </c>
      <c r="N141" t="s">
        <v>71</v>
      </c>
      <c r="O141">
        <v>13838</v>
      </c>
      <c r="P141">
        <v>5440</v>
      </c>
      <c r="Q141" t="str">
        <f t="shared" si="4"/>
        <v>Pending</v>
      </c>
      <c r="R141">
        <f t="shared" si="5"/>
        <v>8398</v>
      </c>
    </row>
    <row r="142" spans="1:18">
      <c r="A142">
        <v>141</v>
      </c>
      <c r="B142" t="s">
        <v>574</v>
      </c>
      <c r="C142" t="s">
        <v>575</v>
      </c>
      <c r="D142" t="s">
        <v>33</v>
      </c>
      <c r="E142" t="s">
        <v>87</v>
      </c>
      <c r="F142" t="s">
        <v>99</v>
      </c>
      <c r="G142" t="s">
        <v>576</v>
      </c>
      <c r="H142" t="s">
        <v>19</v>
      </c>
      <c r="I142" t="s">
        <v>577</v>
      </c>
      <c r="J142" t="s">
        <v>83</v>
      </c>
      <c r="K142" t="s">
        <v>83</v>
      </c>
      <c r="L142" t="s">
        <v>24</v>
      </c>
      <c r="M142" t="s">
        <v>42</v>
      </c>
      <c r="N142" t="s">
        <v>84</v>
      </c>
      <c r="O142">
        <v>48425</v>
      </c>
      <c r="P142">
        <v>46300</v>
      </c>
      <c r="Q142" t="str">
        <f t="shared" si="4"/>
        <v>Pending</v>
      </c>
      <c r="R142">
        <f t="shared" si="5"/>
        <v>2125</v>
      </c>
    </row>
    <row r="143" spans="1:18">
      <c r="A143">
        <v>142</v>
      </c>
      <c r="B143" t="s">
        <v>578</v>
      </c>
      <c r="C143" t="s">
        <v>579</v>
      </c>
      <c r="D143" t="s">
        <v>40</v>
      </c>
      <c r="E143" t="s">
        <v>152</v>
      </c>
      <c r="F143" t="s">
        <v>118</v>
      </c>
      <c r="G143" t="s">
        <v>580</v>
      </c>
      <c r="H143" t="s">
        <v>29</v>
      </c>
      <c r="I143" t="s">
        <v>581</v>
      </c>
      <c r="J143" t="s">
        <v>125</v>
      </c>
      <c r="K143" t="s">
        <v>111</v>
      </c>
      <c r="L143" t="s">
        <v>18</v>
      </c>
      <c r="M143" t="s">
        <v>46</v>
      </c>
      <c r="N143" t="s">
        <v>84</v>
      </c>
      <c r="O143">
        <v>47612</v>
      </c>
      <c r="P143">
        <v>19666</v>
      </c>
      <c r="Q143" t="str">
        <f t="shared" si="4"/>
        <v>Pending</v>
      </c>
      <c r="R143">
        <f t="shared" si="5"/>
        <v>27946</v>
      </c>
    </row>
    <row r="144" spans="1:18">
      <c r="A144">
        <v>143</v>
      </c>
      <c r="B144" t="s">
        <v>582</v>
      </c>
      <c r="C144" t="s">
        <v>583</v>
      </c>
      <c r="D144" t="s">
        <v>31</v>
      </c>
      <c r="E144" t="s">
        <v>87</v>
      </c>
      <c r="F144" t="s">
        <v>74</v>
      </c>
      <c r="G144" t="s">
        <v>584</v>
      </c>
      <c r="H144" t="s">
        <v>22</v>
      </c>
      <c r="I144" t="s">
        <v>585</v>
      </c>
      <c r="J144" t="s">
        <v>95</v>
      </c>
      <c r="K144" t="s">
        <v>96</v>
      </c>
      <c r="L144" t="s">
        <v>21</v>
      </c>
      <c r="M144" t="s">
        <v>45</v>
      </c>
      <c r="N144" t="s">
        <v>77</v>
      </c>
      <c r="O144">
        <v>30237</v>
      </c>
      <c r="P144">
        <v>24022</v>
      </c>
      <c r="Q144" t="str">
        <f t="shared" si="4"/>
        <v>Pending</v>
      </c>
      <c r="R144">
        <f t="shared" si="5"/>
        <v>6215</v>
      </c>
    </row>
    <row r="145" spans="1:18">
      <c r="A145">
        <v>144</v>
      </c>
      <c r="B145" t="s">
        <v>586</v>
      </c>
      <c r="C145" t="s">
        <v>587</v>
      </c>
      <c r="D145" t="s">
        <v>36</v>
      </c>
      <c r="E145" t="s">
        <v>152</v>
      </c>
      <c r="F145" t="s">
        <v>66</v>
      </c>
      <c r="G145" t="s">
        <v>588</v>
      </c>
      <c r="H145" t="s">
        <v>22</v>
      </c>
      <c r="I145" t="s">
        <v>253</v>
      </c>
      <c r="J145" t="s">
        <v>69</v>
      </c>
      <c r="K145" t="s">
        <v>70</v>
      </c>
      <c r="L145" t="s">
        <v>21</v>
      </c>
      <c r="M145" t="s">
        <v>42</v>
      </c>
      <c r="N145" t="s">
        <v>84</v>
      </c>
      <c r="O145">
        <v>24330</v>
      </c>
      <c r="P145">
        <v>24187</v>
      </c>
      <c r="Q145" t="str">
        <f t="shared" si="4"/>
        <v>Pending</v>
      </c>
      <c r="R145">
        <f t="shared" si="5"/>
        <v>143</v>
      </c>
    </row>
    <row r="146" spans="1:18">
      <c r="A146">
        <v>145</v>
      </c>
      <c r="B146" t="s">
        <v>589</v>
      </c>
      <c r="C146" t="s">
        <v>590</v>
      </c>
      <c r="D146" t="s">
        <v>33</v>
      </c>
      <c r="E146" t="s">
        <v>87</v>
      </c>
      <c r="F146" t="s">
        <v>74</v>
      </c>
      <c r="G146" t="s">
        <v>591</v>
      </c>
      <c r="H146" t="s">
        <v>27</v>
      </c>
      <c r="I146" t="s">
        <v>352</v>
      </c>
      <c r="J146" t="s">
        <v>83</v>
      </c>
      <c r="K146" t="s">
        <v>83</v>
      </c>
      <c r="L146" t="s">
        <v>24</v>
      </c>
      <c r="M146" t="s">
        <v>45</v>
      </c>
      <c r="N146" t="s">
        <v>84</v>
      </c>
      <c r="O146">
        <v>10414</v>
      </c>
      <c r="P146">
        <v>1672</v>
      </c>
      <c r="Q146" t="str">
        <f t="shared" si="4"/>
        <v>Pending</v>
      </c>
      <c r="R146">
        <f t="shared" si="5"/>
        <v>8742</v>
      </c>
    </row>
    <row r="147" spans="1:18">
      <c r="A147">
        <v>146</v>
      </c>
      <c r="B147" t="s">
        <v>592</v>
      </c>
      <c r="C147" t="s">
        <v>593</v>
      </c>
      <c r="D147" t="s">
        <v>26</v>
      </c>
      <c r="E147" t="s">
        <v>65</v>
      </c>
      <c r="F147" t="s">
        <v>74</v>
      </c>
      <c r="G147" t="s">
        <v>594</v>
      </c>
      <c r="H147" t="s">
        <v>22</v>
      </c>
      <c r="I147" t="s">
        <v>595</v>
      </c>
      <c r="J147" t="s">
        <v>125</v>
      </c>
      <c r="K147" t="s">
        <v>111</v>
      </c>
      <c r="L147" t="s">
        <v>18</v>
      </c>
      <c r="M147" t="s">
        <v>45</v>
      </c>
      <c r="N147" t="s">
        <v>77</v>
      </c>
      <c r="O147">
        <v>27887</v>
      </c>
      <c r="P147">
        <v>8763</v>
      </c>
      <c r="Q147" t="str">
        <f t="shared" si="4"/>
        <v>Pending</v>
      </c>
      <c r="R147">
        <f t="shared" si="5"/>
        <v>19124</v>
      </c>
    </row>
    <row r="148" spans="1:18">
      <c r="A148">
        <v>147</v>
      </c>
      <c r="B148" t="s">
        <v>596</v>
      </c>
      <c r="C148" t="s">
        <v>597</v>
      </c>
      <c r="D148" t="s">
        <v>20</v>
      </c>
      <c r="E148" t="s">
        <v>80</v>
      </c>
      <c r="F148" t="s">
        <v>118</v>
      </c>
      <c r="G148" t="s">
        <v>598</v>
      </c>
      <c r="H148" t="s">
        <v>27</v>
      </c>
      <c r="I148" t="s">
        <v>599</v>
      </c>
      <c r="J148" t="s">
        <v>95</v>
      </c>
      <c r="K148" t="s">
        <v>96</v>
      </c>
      <c r="L148" t="s">
        <v>21</v>
      </c>
      <c r="M148" t="s">
        <v>46</v>
      </c>
      <c r="N148" t="s">
        <v>77</v>
      </c>
      <c r="O148">
        <v>20990</v>
      </c>
      <c r="P148">
        <v>13263</v>
      </c>
      <c r="Q148" t="str">
        <f t="shared" si="4"/>
        <v>Pending</v>
      </c>
      <c r="R148">
        <f t="shared" si="5"/>
        <v>7727</v>
      </c>
    </row>
    <row r="149" spans="1:18">
      <c r="A149">
        <v>148</v>
      </c>
      <c r="B149" t="s">
        <v>600</v>
      </c>
      <c r="C149" t="s">
        <v>601</v>
      </c>
      <c r="D149" t="s">
        <v>40</v>
      </c>
      <c r="E149" t="s">
        <v>152</v>
      </c>
      <c r="F149" t="s">
        <v>66</v>
      </c>
      <c r="G149" t="s">
        <v>602</v>
      </c>
      <c r="H149" t="s">
        <v>22</v>
      </c>
      <c r="I149" t="s">
        <v>377</v>
      </c>
      <c r="J149" t="s">
        <v>69</v>
      </c>
      <c r="K149" t="s">
        <v>70</v>
      </c>
      <c r="L149" t="s">
        <v>21</v>
      </c>
      <c r="M149" t="s">
        <v>48</v>
      </c>
      <c r="N149" t="s">
        <v>84</v>
      </c>
      <c r="O149">
        <v>48609</v>
      </c>
      <c r="P149">
        <v>7302</v>
      </c>
      <c r="Q149" t="str">
        <f t="shared" si="4"/>
        <v>Pending</v>
      </c>
      <c r="R149">
        <f t="shared" si="5"/>
        <v>41307</v>
      </c>
    </row>
    <row r="150" spans="1:18">
      <c r="A150">
        <v>149</v>
      </c>
      <c r="B150" t="s">
        <v>603</v>
      </c>
      <c r="C150" t="s">
        <v>604</v>
      </c>
      <c r="D150" t="s">
        <v>40</v>
      </c>
      <c r="E150" t="s">
        <v>152</v>
      </c>
      <c r="F150" t="s">
        <v>99</v>
      </c>
      <c r="G150" t="s">
        <v>605</v>
      </c>
      <c r="H150" t="s">
        <v>19</v>
      </c>
      <c r="I150" t="s">
        <v>186</v>
      </c>
      <c r="J150" t="s">
        <v>69</v>
      </c>
      <c r="K150" t="s">
        <v>70</v>
      </c>
      <c r="L150" t="s">
        <v>21</v>
      </c>
      <c r="M150" t="s">
        <v>48</v>
      </c>
      <c r="N150" t="s">
        <v>84</v>
      </c>
      <c r="O150">
        <v>42953</v>
      </c>
      <c r="P150">
        <v>18141</v>
      </c>
      <c r="Q150" t="str">
        <f t="shared" si="4"/>
        <v>Pending</v>
      </c>
      <c r="R150">
        <f t="shared" si="5"/>
        <v>24812</v>
      </c>
    </row>
    <row r="151" spans="1:18">
      <c r="A151">
        <v>150</v>
      </c>
      <c r="B151" t="s">
        <v>606</v>
      </c>
      <c r="C151" t="s">
        <v>607</v>
      </c>
      <c r="D151" t="s">
        <v>20</v>
      </c>
      <c r="E151" t="s">
        <v>80</v>
      </c>
      <c r="F151" t="s">
        <v>118</v>
      </c>
      <c r="G151" t="s">
        <v>608</v>
      </c>
      <c r="H151" t="s">
        <v>27</v>
      </c>
      <c r="I151" t="s">
        <v>609</v>
      </c>
      <c r="J151" t="s">
        <v>83</v>
      </c>
      <c r="K151" t="s">
        <v>83</v>
      </c>
      <c r="L151" t="s">
        <v>24</v>
      </c>
      <c r="M151" t="s">
        <v>42</v>
      </c>
      <c r="N151" t="s">
        <v>71</v>
      </c>
      <c r="O151">
        <v>49197</v>
      </c>
      <c r="P151">
        <v>27605</v>
      </c>
      <c r="Q151" t="str">
        <f t="shared" si="4"/>
        <v>Pending</v>
      </c>
      <c r="R151">
        <f t="shared" si="5"/>
        <v>21592</v>
      </c>
    </row>
    <row r="152" spans="1:18">
      <c r="A152">
        <v>151</v>
      </c>
      <c r="B152" t="s">
        <v>610</v>
      </c>
      <c r="C152" t="s">
        <v>611</v>
      </c>
      <c r="D152" t="s">
        <v>26</v>
      </c>
      <c r="E152" t="s">
        <v>65</v>
      </c>
      <c r="F152" t="s">
        <v>74</v>
      </c>
      <c r="G152" t="s">
        <v>612</v>
      </c>
      <c r="H152" t="s">
        <v>25</v>
      </c>
      <c r="I152" t="s">
        <v>109</v>
      </c>
      <c r="J152" t="s">
        <v>110</v>
      </c>
      <c r="K152" t="s">
        <v>111</v>
      </c>
      <c r="L152" t="s">
        <v>18</v>
      </c>
      <c r="M152" t="s">
        <v>42</v>
      </c>
      <c r="N152" t="s">
        <v>84</v>
      </c>
      <c r="O152">
        <v>6509</v>
      </c>
      <c r="P152">
        <v>4084</v>
      </c>
      <c r="Q152" t="str">
        <f t="shared" si="4"/>
        <v>Pending</v>
      </c>
      <c r="R152">
        <f t="shared" si="5"/>
        <v>2425</v>
      </c>
    </row>
    <row r="153" spans="1:18">
      <c r="A153">
        <v>152</v>
      </c>
      <c r="B153" t="s">
        <v>613</v>
      </c>
      <c r="C153" t="s">
        <v>614</v>
      </c>
      <c r="D153" t="s">
        <v>32</v>
      </c>
      <c r="E153" t="s">
        <v>87</v>
      </c>
      <c r="F153" t="s">
        <v>118</v>
      </c>
      <c r="G153" t="s">
        <v>615</v>
      </c>
      <c r="H153" t="s">
        <v>19</v>
      </c>
      <c r="I153" t="s">
        <v>524</v>
      </c>
      <c r="J153" t="s">
        <v>125</v>
      </c>
      <c r="K153" t="s">
        <v>111</v>
      </c>
      <c r="L153" t="s">
        <v>18</v>
      </c>
      <c r="M153" t="s">
        <v>46</v>
      </c>
      <c r="N153" t="s">
        <v>71</v>
      </c>
      <c r="O153">
        <v>44871</v>
      </c>
      <c r="P153">
        <v>5221</v>
      </c>
      <c r="Q153" t="str">
        <f t="shared" si="4"/>
        <v>Pending</v>
      </c>
      <c r="R153">
        <f t="shared" si="5"/>
        <v>39650</v>
      </c>
    </row>
    <row r="154" spans="1:18">
      <c r="A154">
        <v>153</v>
      </c>
      <c r="B154" t="s">
        <v>616</v>
      </c>
      <c r="C154" t="s">
        <v>617</v>
      </c>
      <c r="D154" t="s">
        <v>32</v>
      </c>
      <c r="E154" t="s">
        <v>87</v>
      </c>
      <c r="F154" t="s">
        <v>74</v>
      </c>
      <c r="G154" t="s">
        <v>618</v>
      </c>
      <c r="H154" t="s">
        <v>29</v>
      </c>
      <c r="I154" t="s">
        <v>234</v>
      </c>
      <c r="J154" t="s">
        <v>95</v>
      </c>
      <c r="K154" t="s">
        <v>96</v>
      </c>
      <c r="L154" t="s">
        <v>21</v>
      </c>
      <c r="M154" t="s">
        <v>50</v>
      </c>
      <c r="N154" t="s">
        <v>71</v>
      </c>
      <c r="O154">
        <v>34611</v>
      </c>
      <c r="P154">
        <v>10543</v>
      </c>
      <c r="Q154" t="str">
        <f t="shared" si="4"/>
        <v>Pending</v>
      </c>
      <c r="R154">
        <f t="shared" si="5"/>
        <v>24068</v>
      </c>
    </row>
    <row r="155" spans="1:18">
      <c r="A155">
        <v>154</v>
      </c>
      <c r="B155" t="s">
        <v>619</v>
      </c>
      <c r="C155" t="s">
        <v>620</v>
      </c>
      <c r="D155" t="s">
        <v>30</v>
      </c>
      <c r="E155" t="s">
        <v>65</v>
      </c>
      <c r="F155" t="s">
        <v>88</v>
      </c>
      <c r="G155" t="s">
        <v>621</v>
      </c>
      <c r="H155" t="s">
        <v>27</v>
      </c>
      <c r="I155" t="s">
        <v>204</v>
      </c>
      <c r="J155" t="s">
        <v>110</v>
      </c>
      <c r="K155" t="s">
        <v>111</v>
      </c>
      <c r="L155" t="s">
        <v>18</v>
      </c>
      <c r="M155" t="s">
        <v>46</v>
      </c>
      <c r="N155" t="s">
        <v>77</v>
      </c>
      <c r="O155">
        <v>13039</v>
      </c>
      <c r="P155">
        <v>984</v>
      </c>
      <c r="Q155" t="str">
        <f t="shared" si="4"/>
        <v>Pending</v>
      </c>
      <c r="R155">
        <f t="shared" si="5"/>
        <v>12055</v>
      </c>
    </row>
    <row r="156" spans="1:18">
      <c r="A156">
        <v>155</v>
      </c>
      <c r="B156" t="s">
        <v>622</v>
      </c>
      <c r="C156" t="s">
        <v>623</v>
      </c>
      <c r="D156" t="s">
        <v>30</v>
      </c>
      <c r="E156" t="s">
        <v>65</v>
      </c>
      <c r="F156" t="s">
        <v>118</v>
      </c>
      <c r="G156" t="s">
        <v>624</v>
      </c>
      <c r="H156" t="s">
        <v>22</v>
      </c>
      <c r="I156" t="s">
        <v>433</v>
      </c>
      <c r="J156" t="s">
        <v>95</v>
      </c>
      <c r="K156" t="s">
        <v>96</v>
      </c>
      <c r="L156" t="s">
        <v>21</v>
      </c>
      <c r="M156" t="s">
        <v>45</v>
      </c>
      <c r="N156" t="s">
        <v>71</v>
      </c>
      <c r="O156">
        <v>26358</v>
      </c>
      <c r="P156">
        <v>14561</v>
      </c>
      <c r="Q156" t="str">
        <f t="shared" si="4"/>
        <v>Pending</v>
      </c>
      <c r="R156">
        <f t="shared" si="5"/>
        <v>11797</v>
      </c>
    </row>
    <row r="157" spans="1:18">
      <c r="A157">
        <v>156</v>
      </c>
      <c r="B157" t="s">
        <v>625</v>
      </c>
      <c r="C157" t="s">
        <v>626</v>
      </c>
      <c r="D157" t="s">
        <v>36</v>
      </c>
      <c r="E157" t="s">
        <v>152</v>
      </c>
      <c r="F157" t="s">
        <v>88</v>
      </c>
      <c r="G157" t="s">
        <v>627</v>
      </c>
      <c r="H157" t="s">
        <v>22</v>
      </c>
      <c r="I157" t="s">
        <v>170</v>
      </c>
      <c r="J157" t="s">
        <v>69</v>
      </c>
      <c r="K157" t="s">
        <v>70</v>
      </c>
      <c r="L157" t="s">
        <v>21</v>
      </c>
      <c r="M157" t="s">
        <v>46</v>
      </c>
      <c r="N157" t="s">
        <v>71</v>
      </c>
      <c r="O157">
        <v>18100</v>
      </c>
      <c r="P157">
        <v>15260</v>
      </c>
      <c r="Q157" t="str">
        <f t="shared" si="4"/>
        <v>Pending</v>
      </c>
      <c r="R157">
        <f t="shared" si="5"/>
        <v>2840</v>
      </c>
    </row>
    <row r="158" spans="1:18">
      <c r="A158">
        <v>157</v>
      </c>
      <c r="B158" t="s">
        <v>628</v>
      </c>
      <c r="C158" t="s">
        <v>629</v>
      </c>
      <c r="D158" t="s">
        <v>23</v>
      </c>
      <c r="E158" t="s">
        <v>80</v>
      </c>
      <c r="F158" t="s">
        <v>118</v>
      </c>
      <c r="G158" t="s">
        <v>630</v>
      </c>
      <c r="H158" t="s">
        <v>19</v>
      </c>
      <c r="I158" t="s">
        <v>631</v>
      </c>
      <c r="J158" t="s">
        <v>125</v>
      </c>
      <c r="K158" t="s">
        <v>111</v>
      </c>
      <c r="L158" t="s">
        <v>18</v>
      </c>
      <c r="M158" t="s">
        <v>46</v>
      </c>
      <c r="N158" t="s">
        <v>77</v>
      </c>
      <c r="O158">
        <v>38268</v>
      </c>
      <c r="P158">
        <v>34261</v>
      </c>
      <c r="Q158" t="str">
        <f t="shared" si="4"/>
        <v>Pending</v>
      </c>
      <c r="R158">
        <f t="shared" si="5"/>
        <v>4007</v>
      </c>
    </row>
    <row r="159" spans="1:18">
      <c r="A159">
        <v>158</v>
      </c>
      <c r="B159" t="s">
        <v>632</v>
      </c>
      <c r="C159" t="s">
        <v>633</v>
      </c>
      <c r="D159" t="s">
        <v>17</v>
      </c>
      <c r="E159" t="s">
        <v>80</v>
      </c>
      <c r="F159" t="s">
        <v>99</v>
      </c>
      <c r="G159" t="s">
        <v>634</v>
      </c>
      <c r="H159" t="s">
        <v>29</v>
      </c>
      <c r="I159" t="s">
        <v>227</v>
      </c>
      <c r="J159" t="s">
        <v>110</v>
      </c>
      <c r="K159" t="s">
        <v>111</v>
      </c>
      <c r="L159" t="s">
        <v>18</v>
      </c>
      <c r="M159" t="s">
        <v>42</v>
      </c>
      <c r="N159" t="s">
        <v>77</v>
      </c>
      <c r="O159">
        <v>43122</v>
      </c>
      <c r="P159">
        <v>27048</v>
      </c>
      <c r="Q159" t="str">
        <f t="shared" si="4"/>
        <v>Pending</v>
      </c>
      <c r="R159">
        <f t="shared" si="5"/>
        <v>16074</v>
      </c>
    </row>
    <row r="160" spans="1:18">
      <c r="A160">
        <v>159</v>
      </c>
      <c r="B160" t="s">
        <v>635</v>
      </c>
      <c r="C160" t="s">
        <v>636</v>
      </c>
      <c r="D160" t="s">
        <v>26</v>
      </c>
      <c r="E160" t="s">
        <v>65</v>
      </c>
      <c r="F160" t="s">
        <v>118</v>
      </c>
      <c r="G160" t="s">
        <v>637</v>
      </c>
      <c r="H160" t="s">
        <v>27</v>
      </c>
      <c r="I160" t="s">
        <v>638</v>
      </c>
      <c r="J160" t="s">
        <v>83</v>
      </c>
      <c r="K160" t="s">
        <v>83</v>
      </c>
      <c r="L160" t="s">
        <v>24</v>
      </c>
      <c r="M160" t="s">
        <v>42</v>
      </c>
      <c r="N160" t="s">
        <v>84</v>
      </c>
      <c r="O160">
        <v>27602</v>
      </c>
      <c r="P160">
        <v>2730</v>
      </c>
      <c r="Q160" t="str">
        <f t="shared" si="4"/>
        <v>Pending</v>
      </c>
      <c r="R160">
        <f t="shared" si="5"/>
        <v>24872</v>
      </c>
    </row>
    <row r="161" spans="1:18">
      <c r="A161">
        <v>160</v>
      </c>
      <c r="B161" t="s">
        <v>639</v>
      </c>
      <c r="C161" t="s">
        <v>640</v>
      </c>
      <c r="D161" t="s">
        <v>30</v>
      </c>
      <c r="E161" t="s">
        <v>65</v>
      </c>
      <c r="F161" t="s">
        <v>66</v>
      </c>
      <c r="G161" t="s">
        <v>641</v>
      </c>
      <c r="H161" t="s">
        <v>29</v>
      </c>
      <c r="I161" t="s">
        <v>524</v>
      </c>
      <c r="J161" t="s">
        <v>69</v>
      </c>
      <c r="K161" t="s">
        <v>70</v>
      </c>
      <c r="L161" t="s">
        <v>21</v>
      </c>
      <c r="M161" t="s">
        <v>46</v>
      </c>
      <c r="N161" t="s">
        <v>77</v>
      </c>
      <c r="O161">
        <v>5457</v>
      </c>
      <c r="P161">
        <v>1112</v>
      </c>
      <c r="Q161" t="str">
        <f t="shared" si="4"/>
        <v>Pending</v>
      </c>
      <c r="R161">
        <f t="shared" si="5"/>
        <v>4345</v>
      </c>
    </row>
    <row r="162" spans="1:18">
      <c r="A162">
        <v>161</v>
      </c>
      <c r="B162" t="s">
        <v>642</v>
      </c>
      <c r="C162" t="s">
        <v>643</v>
      </c>
      <c r="D162" t="s">
        <v>17</v>
      </c>
      <c r="E162" t="s">
        <v>80</v>
      </c>
      <c r="F162" t="s">
        <v>66</v>
      </c>
      <c r="G162" t="s">
        <v>644</v>
      </c>
      <c r="H162" t="s">
        <v>25</v>
      </c>
      <c r="I162" t="s">
        <v>162</v>
      </c>
      <c r="J162" t="s">
        <v>83</v>
      </c>
      <c r="K162" t="s">
        <v>83</v>
      </c>
      <c r="L162" t="s">
        <v>24</v>
      </c>
      <c r="M162" t="s">
        <v>45</v>
      </c>
      <c r="N162" t="s">
        <v>77</v>
      </c>
      <c r="O162">
        <v>23293</v>
      </c>
      <c r="P162">
        <v>22137</v>
      </c>
      <c r="Q162" t="str">
        <f t="shared" si="4"/>
        <v>Pending</v>
      </c>
      <c r="R162">
        <f t="shared" si="5"/>
        <v>1156</v>
      </c>
    </row>
    <row r="163" spans="1:18">
      <c r="A163">
        <v>162</v>
      </c>
      <c r="B163" t="s">
        <v>645</v>
      </c>
      <c r="C163" t="s">
        <v>646</v>
      </c>
      <c r="D163" t="s">
        <v>31</v>
      </c>
      <c r="E163" t="s">
        <v>87</v>
      </c>
      <c r="F163" t="s">
        <v>74</v>
      </c>
      <c r="G163" t="s">
        <v>647</v>
      </c>
      <c r="H163" t="s">
        <v>19</v>
      </c>
      <c r="I163" t="s">
        <v>599</v>
      </c>
      <c r="J163" t="s">
        <v>95</v>
      </c>
      <c r="K163" t="s">
        <v>96</v>
      </c>
      <c r="L163" t="s">
        <v>21</v>
      </c>
      <c r="M163" t="s">
        <v>45</v>
      </c>
      <c r="N163" t="s">
        <v>71</v>
      </c>
      <c r="O163">
        <v>32753</v>
      </c>
      <c r="P163">
        <v>26071</v>
      </c>
      <c r="Q163" t="str">
        <f t="shared" si="4"/>
        <v>Pending</v>
      </c>
      <c r="R163">
        <f t="shared" si="5"/>
        <v>6682</v>
      </c>
    </row>
    <row r="164" spans="1:18">
      <c r="A164">
        <v>163</v>
      </c>
      <c r="B164" t="s">
        <v>648</v>
      </c>
      <c r="C164" t="s">
        <v>649</v>
      </c>
      <c r="D164" t="s">
        <v>36</v>
      </c>
      <c r="E164" t="s">
        <v>152</v>
      </c>
      <c r="F164" t="s">
        <v>88</v>
      </c>
      <c r="G164" t="s">
        <v>650</v>
      </c>
      <c r="H164" t="s">
        <v>29</v>
      </c>
      <c r="I164" t="s">
        <v>149</v>
      </c>
      <c r="J164" t="s">
        <v>69</v>
      </c>
      <c r="K164" t="s">
        <v>70</v>
      </c>
      <c r="L164" t="s">
        <v>21</v>
      </c>
      <c r="M164" t="s">
        <v>42</v>
      </c>
      <c r="N164" t="s">
        <v>71</v>
      </c>
      <c r="O164">
        <v>28653</v>
      </c>
      <c r="P164">
        <v>27966</v>
      </c>
      <c r="Q164" t="str">
        <f t="shared" si="4"/>
        <v>Pending</v>
      </c>
      <c r="R164">
        <f t="shared" si="5"/>
        <v>687</v>
      </c>
    </row>
    <row r="165" spans="1:18">
      <c r="A165">
        <v>164</v>
      </c>
      <c r="B165" t="s">
        <v>651</v>
      </c>
      <c r="C165" t="s">
        <v>652</v>
      </c>
      <c r="D165" t="s">
        <v>26</v>
      </c>
      <c r="E165" t="s">
        <v>65</v>
      </c>
      <c r="F165" t="s">
        <v>88</v>
      </c>
      <c r="G165" t="s">
        <v>653</v>
      </c>
      <c r="H165" t="s">
        <v>25</v>
      </c>
      <c r="I165" t="s">
        <v>154</v>
      </c>
      <c r="J165" t="s">
        <v>83</v>
      </c>
      <c r="K165" t="s">
        <v>83</v>
      </c>
      <c r="L165" t="s">
        <v>24</v>
      </c>
      <c r="M165" t="s">
        <v>46</v>
      </c>
      <c r="N165" t="s">
        <v>84</v>
      </c>
      <c r="O165">
        <v>24428</v>
      </c>
      <c r="P165">
        <v>24137</v>
      </c>
      <c r="Q165" t="str">
        <f t="shared" si="4"/>
        <v>Pending</v>
      </c>
      <c r="R165">
        <f t="shared" si="5"/>
        <v>291</v>
      </c>
    </row>
    <row r="166" spans="1:18">
      <c r="A166">
        <v>165</v>
      </c>
      <c r="B166" t="s">
        <v>654</v>
      </c>
      <c r="C166" t="s">
        <v>655</v>
      </c>
      <c r="D166" t="s">
        <v>23</v>
      </c>
      <c r="E166" t="s">
        <v>80</v>
      </c>
      <c r="F166" t="s">
        <v>66</v>
      </c>
      <c r="G166" t="s">
        <v>656</v>
      </c>
      <c r="H166" t="s">
        <v>25</v>
      </c>
      <c r="I166" t="s">
        <v>115</v>
      </c>
      <c r="J166" t="s">
        <v>69</v>
      </c>
      <c r="K166" t="s">
        <v>70</v>
      </c>
      <c r="L166" t="s">
        <v>21</v>
      </c>
      <c r="M166" t="s">
        <v>42</v>
      </c>
      <c r="N166" t="s">
        <v>77</v>
      </c>
      <c r="O166">
        <v>38321</v>
      </c>
      <c r="P166">
        <v>36200</v>
      </c>
      <c r="Q166" t="str">
        <f t="shared" si="4"/>
        <v>Pending</v>
      </c>
      <c r="R166">
        <f t="shared" si="5"/>
        <v>2121</v>
      </c>
    </row>
    <row r="167" spans="1:18">
      <c r="A167">
        <v>166</v>
      </c>
      <c r="B167" t="s">
        <v>657</v>
      </c>
      <c r="C167" t="s">
        <v>658</v>
      </c>
      <c r="D167" t="s">
        <v>20</v>
      </c>
      <c r="E167" t="s">
        <v>80</v>
      </c>
      <c r="F167" t="s">
        <v>74</v>
      </c>
      <c r="G167" t="s">
        <v>659</v>
      </c>
      <c r="H167" t="s">
        <v>19</v>
      </c>
      <c r="I167" t="s">
        <v>660</v>
      </c>
      <c r="J167" t="s">
        <v>83</v>
      </c>
      <c r="K167" t="s">
        <v>83</v>
      </c>
      <c r="L167" t="s">
        <v>24</v>
      </c>
      <c r="M167" t="s">
        <v>50</v>
      </c>
      <c r="N167" t="s">
        <v>77</v>
      </c>
      <c r="O167">
        <v>49095</v>
      </c>
      <c r="P167">
        <v>26636</v>
      </c>
      <c r="Q167" t="str">
        <f t="shared" si="4"/>
        <v>Pending</v>
      </c>
      <c r="R167">
        <f t="shared" si="5"/>
        <v>22459</v>
      </c>
    </row>
    <row r="168" spans="1:18">
      <c r="A168">
        <v>167</v>
      </c>
      <c r="B168" t="s">
        <v>661</v>
      </c>
      <c r="C168" t="s">
        <v>662</v>
      </c>
      <c r="D168" t="s">
        <v>40</v>
      </c>
      <c r="E168" t="s">
        <v>152</v>
      </c>
      <c r="F168" t="s">
        <v>66</v>
      </c>
      <c r="G168" t="s">
        <v>663</v>
      </c>
      <c r="H168" t="s">
        <v>29</v>
      </c>
      <c r="I168" t="s">
        <v>577</v>
      </c>
      <c r="J168" t="s">
        <v>83</v>
      </c>
      <c r="K168" t="s">
        <v>83</v>
      </c>
      <c r="L168" t="s">
        <v>24</v>
      </c>
      <c r="M168" t="s">
        <v>42</v>
      </c>
      <c r="N168" t="s">
        <v>84</v>
      </c>
      <c r="O168">
        <v>36522</v>
      </c>
      <c r="P168">
        <v>21248</v>
      </c>
      <c r="Q168" t="str">
        <f t="shared" si="4"/>
        <v>Pending</v>
      </c>
      <c r="R168">
        <f t="shared" si="5"/>
        <v>15274</v>
      </c>
    </row>
    <row r="169" spans="1:18">
      <c r="A169">
        <v>168</v>
      </c>
      <c r="B169" t="s">
        <v>664</v>
      </c>
      <c r="C169" t="s">
        <v>665</v>
      </c>
      <c r="D169" t="s">
        <v>33</v>
      </c>
      <c r="E169" t="s">
        <v>87</v>
      </c>
      <c r="F169" t="s">
        <v>88</v>
      </c>
      <c r="G169" t="s">
        <v>666</v>
      </c>
      <c r="H169" t="s">
        <v>19</v>
      </c>
      <c r="I169" t="s">
        <v>162</v>
      </c>
      <c r="J169" t="s">
        <v>83</v>
      </c>
      <c r="K169" t="s">
        <v>83</v>
      </c>
      <c r="L169" t="s">
        <v>24</v>
      </c>
      <c r="M169" t="s">
        <v>46</v>
      </c>
      <c r="N169" t="s">
        <v>77</v>
      </c>
      <c r="O169">
        <v>44308</v>
      </c>
      <c r="P169">
        <v>31565</v>
      </c>
      <c r="Q169" t="str">
        <f t="shared" si="4"/>
        <v>Pending</v>
      </c>
      <c r="R169">
        <f t="shared" si="5"/>
        <v>12743</v>
      </c>
    </row>
    <row r="170" spans="1:18">
      <c r="A170">
        <v>169</v>
      </c>
      <c r="B170" t="s">
        <v>667</v>
      </c>
      <c r="C170" t="s">
        <v>668</v>
      </c>
      <c r="D170" t="s">
        <v>31</v>
      </c>
      <c r="E170" t="s">
        <v>87</v>
      </c>
      <c r="F170" t="s">
        <v>66</v>
      </c>
      <c r="G170" t="s">
        <v>669</v>
      </c>
      <c r="H170" t="s">
        <v>22</v>
      </c>
      <c r="I170" t="s">
        <v>76</v>
      </c>
      <c r="J170" t="s">
        <v>83</v>
      </c>
      <c r="K170" t="s">
        <v>83</v>
      </c>
      <c r="L170" t="s">
        <v>24</v>
      </c>
      <c r="M170" t="s">
        <v>45</v>
      </c>
      <c r="N170" t="s">
        <v>77</v>
      </c>
      <c r="O170">
        <v>13683</v>
      </c>
      <c r="P170">
        <v>13146</v>
      </c>
      <c r="Q170" t="str">
        <f t="shared" si="4"/>
        <v>Pending</v>
      </c>
      <c r="R170">
        <f t="shared" si="5"/>
        <v>537</v>
      </c>
    </row>
    <row r="171" spans="1:18">
      <c r="A171">
        <v>170</v>
      </c>
      <c r="B171" t="s">
        <v>670</v>
      </c>
      <c r="C171" t="s">
        <v>671</v>
      </c>
      <c r="D171" t="s">
        <v>33</v>
      </c>
      <c r="E171" t="s">
        <v>87</v>
      </c>
      <c r="F171" t="s">
        <v>66</v>
      </c>
      <c r="G171" t="s">
        <v>672</v>
      </c>
      <c r="H171" t="s">
        <v>25</v>
      </c>
      <c r="I171" t="s">
        <v>585</v>
      </c>
      <c r="J171" t="s">
        <v>110</v>
      </c>
      <c r="K171" t="s">
        <v>111</v>
      </c>
      <c r="L171" t="s">
        <v>18</v>
      </c>
      <c r="M171" t="s">
        <v>46</v>
      </c>
      <c r="N171" t="s">
        <v>71</v>
      </c>
      <c r="O171">
        <v>49125</v>
      </c>
      <c r="P171">
        <v>8016</v>
      </c>
      <c r="Q171" t="str">
        <f t="shared" si="4"/>
        <v>Pending</v>
      </c>
      <c r="R171">
        <f t="shared" si="5"/>
        <v>41109</v>
      </c>
    </row>
    <row r="172" spans="1:18">
      <c r="A172">
        <v>171</v>
      </c>
      <c r="B172" t="s">
        <v>673</v>
      </c>
      <c r="C172" t="s">
        <v>674</v>
      </c>
      <c r="D172" t="s">
        <v>33</v>
      </c>
      <c r="E172" t="s">
        <v>87</v>
      </c>
      <c r="F172" t="s">
        <v>118</v>
      </c>
      <c r="G172" t="s">
        <v>675</v>
      </c>
      <c r="H172" t="s">
        <v>29</v>
      </c>
      <c r="I172" t="s">
        <v>366</v>
      </c>
      <c r="J172" t="s">
        <v>125</v>
      </c>
      <c r="K172" t="s">
        <v>111</v>
      </c>
      <c r="L172" t="s">
        <v>18</v>
      </c>
      <c r="M172" t="s">
        <v>50</v>
      </c>
      <c r="N172" t="s">
        <v>84</v>
      </c>
      <c r="O172">
        <v>33280</v>
      </c>
      <c r="P172">
        <v>13555</v>
      </c>
      <c r="Q172" t="str">
        <f t="shared" si="4"/>
        <v>Pending</v>
      </c>
      <c r="R172">
        <f t="shared" si="5"/>
        <v>19725</v>
      </c>
    </row>
    <row r="173" spans="1:18">
      <c r="A173">
        <v>172</v>
      </c>
      <c r="B173" t="s">
        <v>676</v>
      </c>
      <c r="C173" t="s">
        <v>677</v>
      </c>
      <c r="D173" t="s">
        <v>23</v>
      </c>
      <c r="E173" t="s">
        <v>80</v>
      </c>
      <c r="F173" t="s">
        <v>88</v>
      </c>
      <c r="G173" t="s">
        <v>678</v>
      </c>
      <c r="H173" t="s">
        <v>25</v>
      </c>
      <c r="I173" t="s">
        <v>505</v>
      </c>
      <c r="J173" t="s">
        <v>110</v>
      </c>
      <c r="K173" t="s">
        <v>111</v>
      </c>
      <c r="L173" t="s">
        <v>18</v>
      </c>
      <c r="M173" t="s">
        <v>45</v>
      </c>
      <c r="N173" t="s">
        <v>84</v>
      </c>
      <c r="O173">
        <v>14607</v>
      </c>
      <c r="P173">
        <v>7872</v>
      </c>
      <c r="Q173" t="str">
        <f t="shared" si="4"/>
        <v>Pending</v>
      </c>
      <c r="R173">
        <f t="shared" si="5"/>
        <v>6735</v>
      </c>
    </row>
    <row r="174" spans="1:18">
      <c r="A174">
        <v>173</v>
      </c>
      <c r="B174" t="s">
        <v>679</v>
      </c>
      <c r="C174" t="s">
        <v>680</v>
      </c>
      <c r="D174" t="s">
        <v>23</v>
      </c>
      <c r="E174" t="s">
        <v>80</v>
      </c>
      <c r="F174" t="s">
        <v>66</v>
      </c>
      <c r="G174" t="s">
        <v>681</v>
      </c>
      <c r="H174" t="s">
        <v>29</v>
      </c>
      <c r="I174" t="s">
        <v>396</v>
      </c>
      <c r="J174" t="s">
        <v>95</v>
      </c>
      <c r="K174" t="s">
        <v>96</v>
      </c>
      <c r="L174" t="s">
        <v>21</v>
      </c>
      <c r="M174" t="s">
        <v>45</v>
      </c>
      <c r="N174" t="s">
        <v>71</v>
      </c>
      <c r="O174">
        <v>7492</v>
      </c>
      <c r="P174">
        <v>2163</v>
      </c>
      <c r="Q174" t="str">
        <f t="shared" si="4"/>
        <v>Pending</v>
      </c>
      <c r="R174">
        <f t="shared" si="5"/>
        <v>5329</v>
      </c>
    </row>
    <row r="175" spans="1:18">
      <c r="A175">
        <v>174</v>
      </c>
      <c r="B175" t="s">
        <v>682</v>
      </c>
      <c r="C175" t="s">
        <v>683</v>
      </c>
      <c r="D175" t="s">
        <v>30</v>
      </c>
      <c r="E175" t="s">
        <v>65</v>
      </c>
      <c r="F175" t="s">
        <v>99</v>
      </c>
      <c r="G175" t="s">
        <v>684</v>
      </c>
      <c r="H175" t="s">
        <v>27</v>
      </c>
      <c r="I175" t="s">
        <v>359</v>
      </c>
      <c r="J175" t="s">
        <v>110</v>
      </c>
      <c r="K175" t="s">
        <v>111</v>
      </c>
      <c r="L175" t="s">
        <v>18</v>
      </c>
      <c r="M175" t="s">
        <v>48</v>
      </c>
      <c r="N175" t="s">
        <v>84</v>
      </c>
      <c r="O175">
        <v>46356</v>
      </c>
      <c r="P175">
        <v>35896</v>
      </c>
      <c r="Q175" t="str">
        <f t="shared" si="4"/>
        <v>Pending</v>
      </c>
      <c r="R175">
        <f t="shared" si="5"/>
        <v>10460</v>
      </c>
    </row>
    <row r="176" spans="1:18">
      <c r="A176">
        <v>175</v>
      </c>
      <c r="B176" t="s">
        <v>685</v>
      </c>
      <c r="C176" t="s">
        <v>686</v>
      </c>
      <c r="D176" t="s">
        <v>32</v>
      </c>
      <c r="E176" t="s">
        <v>87</v>
      </c>
      <c r="F176" t="s">
        <v>118</v>
      </c>
      <c r="G176" t="s">
        <v>687</v>
      </c>
      <c r="H176" t="s">
        <v>25</v>
      </c>
      <c r="I176" t="s">
        <v>94</v>
      </c>
      <c r="J176" t="s">
        <v>83</v>
      </c>
      <c r="K176" t="s">
        <v>83</v>
      </c>
      <c r="L176" t="s">
        <v>24</v>
      </c>
      <c r="M176" t="s">
        <v>42</v>
      </c>
      <c r="N176" t="s">
        <v>71</v>
      </c>
      <c r="O176">
        <v>37108</v>
      </c>
      <c r="P176">
        <v>23424</v>
      </c>
      <c r="Q176" t="str">
        <f t="shared" si="4"/>
        <v>Pending</v>
      </c>
      <c r="R176">
        <f t="shared" si="5"/>
        <v>13684</v>
      </c>
    </row>
    <row r="177" spans="1:18">
      <c r="A177">
        <v>176</v>
      </c>
      <c r="B177" t="s">
        <v>688</v>
      </c>
      <c r="C177" t="s">
        <v>689</v>
      </c>
      <c r="D177" t="s">
        <v>33</v>
      </c>
      <c r="E177" t="s">
        <v>87</v>
      </c>
      <c r="F177" t="s">
        <v>74</v>
      </c>
      <c r="G177" t="s">
        <v>690</v>
      </c>
      <c r="H177" t="s">
        <v>27</v>
      </c>
      <c r="I177" t="s">
        <v>691</v>
      </c>
      <c r="J177" t="s">
        <v>83</v>
      </c>
      <c r="K177" t="s">
        <v>83</v>
      </c>
      <c r="L177" t="s">
        <v>24</v>
      </c>
      <c r="M177" t="s">
        <v>46</v>
      </c>
      <c r="N177" t="s">
        <v>84</v>
      </c>
      <c r="O177">
        <v>42522</v>
      </c>
      <c r="P177">
        <v>39674</v>
      </c>
      <c r="Q177" t="str">
        <f t="shared" si="4"/>
        <v>Pending</v>
      </c>
      <c r="R177">
        <f t="shared" si="5"/>
        <v>2848</v>
      </c>
    </row>
    <row r="178" spans="1:18">
      <c r="A178">
        <v>177</v>
      </c>
      <c r="B178" t="s">
        <v>692</v>
      </c>
      <c r="C178" t="s">
        <v>693</v>
      </c>
      <c r="D178" t="s">
        <v>28</v>
      </c>
      <c r="E178" t="s">
        <v>65</v>
      </c>
      <c r="F178" t="s">
        <v>74</v>
      </c>
      <c r="G178" t="s">
        <v>694</v>
      </c>
      <c r="H178" t="s">
        <v>27</v>
      </c>
      <c r="I178" t="s">
        <v>524</v>
      </c>
      <c r="J178" t="s">
        <v>95</v>
      </c>
      <c r="K178" t="s">
        <v>96</v>
      </c>
      <c r="L178" t="s">
        <v>21</v>
      </c>
      <c r="M178" t="s">
        <v>50</v>
      </c>
      <c r="N178" t="s">
        <v>84</v>
      </c>
      <c r="O178">
        <v>8373</v>
      </c>
      <c r="P178">
        <v>5566</v>
      </c>
      <c r="Q178" t="str">
        <f t="shared" si="4"/>
        <v>Pending</v>
      </c>
      <c r="R178">
        <f t="shared" si="5"/>
        <v>2807</v>
      </c>
    </row>
    <row r="179" spans="1:18">
      <c r="A179">
        <v>178</v>
      </c>
      <c r="B179" t="s">
        <v>695</v>
      </c>
      <c r="C179" t="s">
        <v>696</v>
      </c>
      <c r="D179" t="s">
        <v>36</v>
      </c>
      <c r="E179" t="s">
        <v>152</v>
      </c>
      <c r="F179" t="s">
        <v>118</v>
      </c>
      <c r="G179" t="s">
        <v>697</v>
      </c>
      <c r="H179" t="s">
        <v>22</v>
      </c>
      <c r="I179" t="s">
        <v>548</v>
      </c>
      <c r="J179" t="s">
        <v>110</v>
      </c>
      <c r="K179" t="s">
        <v>111</v>
      </c>
      <c r="L179" t="s">
        <v>18</v>
      </c>
      <c r="M179" t="s">
        <v>50</v>
      </c>
      <c r="N179" t="s">
        <v>84</v>
      </c>
      <c r="O179">
        <v>39954</v>
      </c>
      <c r="P179">
        <v>38074</v>
      </c>
      <c r="Q179" t="str">
        <f t="shared" si="4"/>
        <v>Pending</v>
      </c>
      <c r="R179">
        <f t="shared" si="5"/>
        <v>1880</v>
      </c>
    </row>
    <row r="180" spans="1:18">
      <c r="A180">
        <v>179</v>
      </c>
      <c r="B180" t="s">
        <v>698</v>
      </c>
      <c r="C180" t="s">
        <v>699</v>
      </c>
      <c r="D180" t="s">
        <v>36</v>
      </c>
      <c r="E180" t="s">
        <v>152</v>
      </c>
      <c r="F180" t="s">
        <v>66</v>
      </c>
      <c r="G180" t="s">
        <v>700</v>
      </c>
      <c r="H180" t="s">
        <v>22</v>
      </c>
      <c r="I180" t="s">
        <v>548</v>
      </c>
      <c r="J180" t="s">
        <v>110</v>
      </c>
      <c r="K180" t="s">
        <v>111</v>
      </c>
      <c r="L180" t="s">
        <v>18</v>
      </c>
      <c r="M180" t="s">
        <v>45</v>
      </c>
      <c r="N180" t="s">
        <v>77</v>
      </c>
      <c r="O180">
        <v>8811</v>
      </c>
      <c r="P180">
        <v>2801</v>
      </c>
      <c r="Q180" t="str">
        <f t="shared" si="4"/>
        <v>Pending</v>
      </c>
      <c r="R180">
        <f t="shared" si="5"/>
        <v>6010</v>
      </c>
    </row>
    <row r="181" spans="1:18">
      <c r="A181">
        <v>180</v>
      </c>
      <c r="B181" t="s">
        <v>701</v>
      </c>
      <c r="C181" t="s">
        <v>702</v>
      </c>
      <c r="D181" t="s">
        <v>36</v>
      </c>
      <c r="E181" t="s">
        <v>152</v>
      </c>
      <c r="F181" t="s">
        <v>66</v>
      </c>
      <c r="G181" t="s">
        <v>703</v>
      </c>
      <c r="H181" t="s">
        <v>29</v>
      </c>
      <c r="I181" t="s">
        <v>158</v>
      </c>
      <c r="J181" t="s">
        <v>83</v>
      </c>
      <c r="K181" t="s">
        <v>83</v>
      </c>
      <c r="L181" t="s">
        <v>24</v>
      </c>
      <c r="M181" t="s">
        <v>45</v>
      </c>
      <c r="N181" t="s">
        <v>71</v>
      </c>
      <c r="O181">
        <v>12457</v>
      </c>
      <c r="P181">
        <v>4612</v>
      </c>
      <c r="Q181" t="str">
        <f t="shared" si="4"/>
        <v>Pending</v>
      </c>
      <c r="R181">
        <f t="shared" si="5"/>
        <v>7845</v>
      </c>
    </row>
    <row r="182" spans="1:18">
      <c r="A182">
        <v>181</v>
      </c>
      <c r="B182" t="s">
        <v>704</v>
      </c>
      <c r="C182" t="s">
        <v>705</v>
      </c>
      <c r="D182" t="s">
        <v>17</v>
      </c>
      <c r="E182" t="s">
        <v>80</v>
      </c>
      <c r="F182" t="s">
        <v>74</v>
      </c>
      <c r="G182" t="s">
        <v>706</v>
      </c>
      <c r="H182" t="s">
        <v>19</v>
      </c>
      <c r="I182" t="s">
        <v>149</v>
      </c>
      <c r="J182" t="s">
        <v>69</v>
      </c>
      <c r="K182" t="s">
        <v>70</v>
      </c>
      <c r="L182" t="s">
        <v>21</v>
      </c>
      <c r="M182" t="s">
        <v>50</v>
      </c>
      <c r="N182" t="s">
        <v>84</v>
      </c>
      <c r="O182">
        <v>26853</v>
      </c>
      <c r="P182">
        <v>16113</v>
      </c>
      <c r="Q182" t="str">
        <f t="shared" si="4"/>
        <v>Pending</v>
      </c>
      <c r="R182">
        <f t="shared" si="5"/>
        <v>10740</v>
      </c>
    </row>
    <row r="183" spans="1:18">
      <c r="A183">
        <v>182</v>
      </c>
      <c r="B183" t="s">
        <v>707</v>
      </c>
      <c r="C183" t="s">
        <v>708</v>
      </c>
      <c r="D183" t="s">
        <v>26</v>
      </c>
      <c r="E183" t="s">
        <v>65</v>
      </c>
      <c r="F183" t="s">
        <v>88</v>
      </c>
      <c r="G183" t="s">
        <v>709</v>
      </c>
      <c r="H183" t="s">
        <v>25</v>
      </c>
      <c r="I183" t="s">
        <v>359</v>
      </c>
      <c r="J183" t="s">
        <v>125</v>
      </c>
      <c r="K183" t="s">
        <v>111</v>
      </c>
      <c r="L183" t="s">
        <v>18</v>
      </c>
      <c r="M183" t="s">
        <v>45</v>
      </c>
      <c r="N183" t="s">
        <v>77</v>
      </c>
      <c r="O183">
        <v>40499</v>
      </c>
      <c r="P183">
        <v>4233</v>
      </c>
      <c r="Q183" t="str">
        <f t="shared" si="4"/>
        <v>Pending</v>
      </c>
      <c r="R183">
        <f t="shared" si="5"/>
        <v>36266</v>
      </c>
    </row>
    <row r="184" spans="1:18">
      <c r="A184">
        <v>183</v>
      </c>
      <c r="B184" t="s">
        <v>710</v>
      </c>
      <c r="C184" t="s">
        <v>711</v>
      </c>
      <c r="D184" t="s">
        <v>40</v>
      </c>
      <c r="E184" t="s">
        <v>152</v>
      </c>
      <c r="F184" t="s">
        <v>88</v>
      </c>
      <c r="G184" t="s">
        <v>712</v>
      </c>
      <c r="H184" t="s">
        <v>25</v>
      </c>
      <c r="I184" t="s">
        <v>223</v>
      </c>
      <c r="J184" t="s">
        <v>110</v>
      </c>
      <c r="K184" t="s">
        <v>111</v>
      </c>
      <c r="L184" t="s">
        <v>18</v>
      </c>
      <c r="M184" t="s">
        <v>42</v>
      </c>
      <c r="N184" t="s">
        <v>84</v>
      </c>
      <c r="O184">
        <v>16223</v>
      </c>
      <c r="P184">
        <v>7086</v>
      </c>
      <c r="Q184" t="str">
        <f t="shared" si="4"/>
        <v>Pending</v>
      </c>
      <c r="R184">
        <f t="shared" si="5"/>
        <v>9137</v>
      </c>
    </row>
    <row r="185" spans="1:18">
      <c r="A185">
        <v>184</v>
      </c>
      <c r="B185" t="s">
        <v>713</v>
      </c>
      <c r="C185" t="s">
        <v>714</v>
      </c>
      <c r="D185" t="s">
        <v>40</v>
      </c>
      <c r="E185" t="s">
        <v>152</v>
      </c>
      <c r="F185" t="s">
        <v>74</v>
      </c>
      <c r="G185" t="s">
        <v>715</v>
      </c>
      <c r="H185" t="s">
        <v>22</v>
      </c>
      <c r="I185" t="s">
        <v>716</v>
      </c>
      <c r="J185" t="s">
        <v>69</v>
      </c>
      <c r="K185" t="s">
        <v>70</v>
      </c>
      <c r="L185" t="s">
        <v>21</v>
      </c>
      <c r="M185" t="s">
        <v>50</v>
      </c>
      <c r="N185" t="s">
        <v>71</v>
      </c>
      <c r="O185">
        <v>23913</v>
      </c>
      <c r="P185">
        <v>3910</v>
      </c>
      <c r="Q185" t="str">
        <f t="shared" si="4"/>
        <v>Pending</v>
      </c>
      <c r="R185">
        <f t="shared" si="5"/>
        <v>20003</v>
      </c>
    </row>
    <row r="186" spans="1:18">
      <c r="A186">
        <v>185</v>
      </c>
      <c r="B186" t="s">
        <v>717</v>
      </c>
      <c r="C186" t="s">
        <v>718</v>
      </c>
      <c r="D186" t="s">
        <v>33</v>
      </c>
      <c r="E186" t="s">
        <v>87</v>
      </c>
      <c r="F186" t="s">
        <v>66</v>
      </c>
      <c r="G186" t="s">
        <v>719</v>
      </c>
      <c r="H186" t="s">
        <v>19</v>
      </c>
      <c r="I186" t="s">
        <v>141</v>
      </c>
      <c r="J186" t="s">
        <v>69</v>
      </c>
      <c r="K186" t="s">
        <v>70</v>
      </c>
      <c r="L186" t="s">
        <v>21</v>
      </c>
      <c r="M186" t="s">
        <v>46</v>
      </c>
      <c r="N186" t="s">
        <v>77</v>
      </c>
      <c r="O186">
        <v>44113</v>
      </c>
      <c r="P186">
        <v>24414</v>
      </c>
      <c r="Q186" t="str">
        <f t="shared" si="4"/>
        <v>Pending</v>
      </c>
      <c r="R186">
        <f t="shared" si="5"/>
        <v>19699</v>
      </c>
    </row>
    <row r="187" spans="1:18">
      <c r="A187">
        <v>186</v>
      </c>
      <c r="B187" t="s">
        <v>720</v>
      </c>
      <c r="C187" t="s">
        <v>721</v>
      </c>
      <c r="D187" t="s">
        <v>20</v>
      </c>
      <c r="E187" t="s">
        <v>80</v>
      </c>
      <c r="F187" t="s">
        <v>99</v>
      </c>
      <c r="G187" t="s">
        <v>722</v>
      </c>
      <c r="H187" t="s">
        <v>29</v>
      </c>
      <c r="I187" t="s">
        <v>115</v>
      </c>
      <c r="J187" t="s">
        <v>83</v>
      </c>
      <c r="K187" t="s">
        <v>83</v>
      </c>
      <c r="L187" t="s">
        <v>24</v>
      </c>
      <c r="M187" t="s">
        <v>45</v>
      </c>
      <c r="N187" t="s">
        <v>84</v>
      </c>
      <c r="O187">
        <v>39142</v>
      </c>
      <c r="P187">
        <v>8969</v>
      </c>
      <c r="Q187" t="str">
        <f t="shared" si="4"/>
        <v>Pending</v>
      </c>
      <c r="R187">
        <f t="shared" si="5"/>
        <v>30173</v>
      </c>
    </row>
    <row r="188" spans="1:18">
      <c r="A188">
        <v>187</v>
      </c>
      <c r="B188" t="s">
        <v>723</v>
      </c>
      <c r="C188" t="s">
        <v>724</v>
      </c>
      <c r="D188" t="s">
        <v>17</v>
      </c>
      <c r="E188" t="s">
        <v>80</v>
      </c>
      <c r="F188" t="s">
        <v>66</v>
      </c>
      <c r="G188" t="s">
        <v>725</v>
      </c>
      <c r="H188" t="s">
        <v>19</v>
      </c>
      <c r="I188" t="s">
        <v>377</v>
      </c>
      <c r="J188" t="s">
        <v>83</v>
      </c>
      <c r="K188" t="s">
        <v>83</v>
      </c>
      <c r="L188" t="s">
        <v>24</v>
      </c>
      <c r="M188" t="s">
        <v>45</v>
      </c>
      <c r="N188" t="s">
        <v>84</v>
      </c>
      <c r="O188">
        <v>33198</v>
      </c>
      <c r="P188">
        <v>32223</v>
      </c>
      <c r="Q188" t="str">
        <f t="shared" si="4"/>
        <v>Pending</v>
      </c>
      <c r="R188">
        <f t="shared" si="5"/>
        <v>975</v>
      </c>
    </row>
    <row r="189" spans="1:18">
      <c r="A189">
        <v>188</v>
      </c>
      <c r="B189" t="s">
        <v>726</v>
      </c>
      <c r="C189" t="s">
        <v>727</v>
      </c>
      <c r="D189" t="s">
        <v>17</v>
      </c>
      <c r="E189" t="s">
        <v>80</v>
      </c>
      <c r="F189" t="s">
        <v>118</v>
      </c>
      <c r="G189" t="s">
        <v>728</v>
      </c>
      <c r="H189" t="s">
        <v>22</v>
      </c>
      <c r="I189" t="s">
        <v>295</v>
      </c>
      <c r="J189" t="s">
        <v>125</v>
      </c>
      <c r="K189" t="s">
        <v>111</v>
      </c>
      <c r="L189" t="s">
        <v>18</v>
      </c>
      <c r="M189" t="s">
        <v>45</v>
      </c>
      <c r="N189" t="s">
        <v>84</v>
      </c>
      <c r="O189">
        <v>43299</v>
      </c>
      <c r="P189">
        <v>19818</v>
      </c>
      <c r="Q189" t="str">
        <f t="shared" si="4"/>
        <v>Pending</v>
      </c>
      <c r="R189">
        <f t="shared" si="5"/>
        <v>23481</v>
      </c>
    </row>
    <row r="190" spans="1:18">
      <c r="A190">
        <v>189</v>
      </c>
      <c r="B190" t="s">
        <v>729</v>
      </c>
      <c r="C190" t="s">
        <v>730</v>
      </c>
      <c r="D190" t="s">
        <v>43</v>
      </c>
      <c r="E190" t="s">
        <v>152</v>
      </c>
      <c r="F190" t="s">
        <v>88</v>
      </c>
      <c r="G190" t="s">
        <v>731</v>
      </c>
      <c r="H190" t="s">
        <v>25</v>
      </c>
      <c r="I190" t="s">
        <v>541</v>
      </c>
      <c r="J190" t="s">
        <v>83</v>
      </c>
      <c r="K190" t="s">
        <v>83</v>
      </c>
      <c r="L190" t="s">
        <v>24</v>
      </c>
      <c r="M190" t="s">
        <v>48</v>
      </c>
      <c r="N190" t="s">
        <v>84</v>
      </c>
      <c r="O190">
        <v>41434</v>
      </c>
      <c r="P190">
        <v>17246</v>
      </c>
      <c r="Q190" t="str">
        <f t="shared" si="4"/>
        <v>Pending</v>
      </c>
      <c r="R190">
        <f t="shared" si="5"/>
        <v>24188</v>
      </c>
    </row>
    <row r="191" spans="1:18">
      <c r="A191">
        <v>190</v>
      </c>
      <c r="B191" t="s">
        <v>732</v>
      </c>
      <c r="C191" t="s">
        <v>733</v>
      </c>
      <c r="D191" t="s">
        <v>33</v>
      </c>
      <c r="E191" t="s">
        <v>87</v>
      </c>
      <c r="F191" t="s">
        <v>88</v>
      </c>
      <c r="G191" t="s">
        <v>734</v>
      </c>
      <c r="H191" t="s">
        <v>29</v>
      </c>
      <c r="I191" t="s">
        <v>120</v>
      </c>
      <c r="J191" t="s">
        <v>69</v>
      </c>
      <c r="K191" t="s">
        <v>70</v>
      </c>
      <c r="L191" t="s">
        <v>21</v>
      </c>
      <c r="M191" t="s">
        <v>45</v>
      </c>
      <c r="N191" t="s">
        <v>84</v>
      </c>
      <c r="O191">
        <v>44607</v>
      </c>
      <c r="P191">
        <v>27256</v>
      </c>
      <c r="Q191" t="str">
        <f t="shared" si="4"/>
        <v>Pending</v>
      </c>
      <c r="R191">
        <f t="shared" si="5"/>
        <v>17351</v>
      </c>
    </row>
    <row r="192" spans="1:18">
      <c r="A192">
        <v>191</v>
      </c>
      <c r="B192" t="s">
        <v>735</v>
      </c>
      <c r="C192" t="s">
        <v>736</v>
      </c>
      <c r="D192" t="s">
        <v>33</v>
      </c>
      <c r="E192" t="s">
        <v>87</v>
      </c>
      <c r="F192" t="s">
        <v>118</v>
      </c>
      <c r="G192" t="s">
        <v>737</v>
      </c>
      <c r="H192" t="s">
        <v>22</v>
      </c>
      <c r="I192" t="s">
        <v>458</v>
      </c>
      <c r="J192" t="s">
        <v>69</v>
      </c>
      <c r="K192" t="s">
        <v>70</v>
      </c>
      <c r="L192" t="s">
        <v>21</v>
      </c>
      <c r="M192" t="s">
        <v>42</v>
      </c>
      <c r="N192" t="s">
        <v>77</v>
      </c>
      <c r="O192">
        <v>7553</v>
      </c>
      <c r="P192">
        <v>1867</v>
      </c>
      <c r="Q192" t="str">
        <f t="shared" si="4"/>
        <v>Pending</v>
      </c>
      <c r="R192">
        <f t="shared" si="5"/>
        <v>5686</v>
      </c>
    </row>
    <row r="193" spans="1:18">
      <c r="A193">
        <v>192</v>
      </c>
      <c r="B193" t="s">
        <v>738</v>
      </c>
      <c r="C193" t="s">
        <v>739</v>
      </c>
      <c r="D193" t="s">
        <v>40</v>
      </c>
      <c r="E193" t="s">
        <v>152</v>
      </c>
      <c r="F193" t="s">
        <v>88</v>
      </c>
      <c r="G193" t="s">
        <v>740</v>
      </c>
      <c r="H193" t="s">
        <v>19</v>
      </c>
      <c r="I193" t="s">
        <v>741</v>
      </c>
      <c r="J193" t="s">
        <v>69</v>
      </c>
      <c r="K193" t="s">
        <v>70</v>
      </c>
      <c r="L193" t="s">
        <v>21</v>
      </c>
      <c r="M193" t="s">
        <v>48</v>
      </c>
      <c r="N193" t="s">
        <v>77</v>
      </c>
      <c r="O193">
        <v>46617</v>
      </c>
      <c r="P193">
        <v>19096</v>
      </c>
      <c r="Q193" t="str">
        <f t="shared" si="4"/>
        <v>Pending</v>
      </c>
      <c r="R193">
        <f t="shared" si="5"/>
        <v>27521</v>
      </c>
    </row>
    <row r="194" spans="1:18">
      <c r="A194">
        <v>193</v>
      </c>
      <c r="B194" t="s">
        <v>742</v>
      </c>
      <c r="C194" t="s">
        <v>743</v>
      </c>
      <c r="D194" t="s">
        <v>28</v>
      </c>
      <c r="E194" t="s">
        <v>65</v>
      </c>
      <c r="F194" t="s">
        <v>66</v>
      </c>
      <c r="G194" t="s">
        <v>744</v>
      </c>
      <c r="H194" t="s">
        <v>29</v>
      </c>
      <c r="I194" t="s">
        <v>101</v>
      </c>
      <c r="J194" t="s">
        <v>83</v>
      </c>
      <c r="K194" t="s">
        <v>83</v>
      </c>
      <c r="L194" t="s">
        <v>24</v>
      </c>
      <c r="M194" t="s">
        <v>42</v>
      </c>
      <c r="N194" t="s">
        <v>71</v>
      </c>
      <c r="O194">
        <v>36588</v>
      </c>
      <c r="P194">
        <v>9916</v>
      </c>
      <c r="Q194" t="str">
        <f t="shared" ref="Q194:Q257" si="6">IF(R194=0,"Received","Pending")</f>
        <v>Pending</v>
      </c>
      <c r="R194">
        <f t="shared" ref="R194:R257" si="7">O194-P194</f>
        <v>26672</v>
      </c>
    </row>
    <row r="195" spans="1:18">
      <c r="A195">
        <v>194</v>
      </c>
      <c r="B195" t="s">
        <v>745</v>
      </c>
      <c r="C195" t="s">
        <v>746</v>
      </c>
      <c r="D195" t="s">
        <v>31</v>
      </c>
      <c r="E195" t="s">
        <v>87</v>
      </c>
      <c r="F195" t="s">
        <v>99</v>
      </c>
      <c r="G195" t="s">
        <v>747</v>
      </c>
      <c r="H195" t="s">
        <v>27</v>
      </c>
      <c r="I195" t="s">
        <v>396</v>
      </c>
      <c r="J195" t="s">
        <v>110</v>
      </c>
      <c r="K195" t="s">
        <v>111</v>
      </c>
      <c r="L195" t="s">
        <v>18</v>
      </c>
      <c r="M195" t="s">
        <v>48</v>
      </c>
      <c r="N195" t="s">
        <v>77</v>
      </c>
      <c r="O195">
        <v>12162</v>
      </c>
      <c r="P195">
        <v>2059</v>
      </c>
      <c r="Q195" t="str">
        <f t="shared" si="6"/>
        <v>Pending</v>
      </c>
      <c r="R195">
        <f t="shared" si="7"/>
        <v>10103</v>
      </c>
    </row>
    <row r="196" spans="1:18">
      <c r="A196">
        <v>195</v>
      </c>
      <c r="B196" t="s">
        <v>748</v>
      </c>
      <c r="C196" t="s">
        <v>749</v>
      </c>
      <c r="D196" t="s">
        <v>23</v>
      </c>
      <c r="E196" t="s">
        <v>80</v>
      </c>
      <c r="F196" t="s">
        <v>66</v>
      </c>
      <c r="G196" t="s">
        <v>750</v>
      </c>
      <c r="H196" t="s">
        <v>27</v>
      </c>
      <c r="I196" t="s">
        <v>76</v>
      </c>
      <c r="J196" t="s">
        <v>95</v>
      </c>
      <c r="K196" t="s">
        <v>96</v>
      </c>
      <c r="L196" t="s">
        <v>21</v>
      </c>
      <c r="M196" t="s">
        <v>46</v>
      </c>
      <c r="N196" t="s">
        <v>77</v>
      </c>
      <c r="O196">
        <v>23256</v>
      </c>
      <c r="P196">
        <v>4593</v>
      </c>
      <c r="Q196" t="str">
        <f t="shared" si="6"/>
        <v>Pending</v>
      </c>
      <c r="R196">
        <f t="shared" si="7"/>
        <v>18663</v>
      </c>
    </row>
    <row r="197" spans="1:18">
      <c r="A197">
        <v>196</v>
      </c>
      <c r="B197" t="s">
        <v>751</v>
      </c>
      <c r="C197" t="s">
        <v>752</v>
      </c>
      <c r="D197" t="s">
        <v>33</v>
      </c>
      <c r="E197" t="s">
        <v>87</v>
      </c>
      <c r="F197" t="s">
        <v>66</v>
      </c>
      <c r="G197" t="s">
        <v>753</v>
      </c>
      <c r="H197" t="s">
        <v>19</v>
      </c>
      <c r="I197" t="s">
        <v>325</v>
      </c>
      <c r="J197" t="s">
        <v>125</v>
      </c>
      <c r="K197" t="s">
        <v>111</v>
      </c>
      <c r="L197" t="s">
        <v>18</v>
      </c>
      <c r="M197" t="s">
        <v>42</v>
      </c>
      <c r="N197" t="s">
        <v>71</v>
      </c>
      <c r="O197">
        <v>38847</v>
      </c>
      <c r="P197">
        <v>27431</v>
      </c>
      <c r="Q197" t="str">
        <f t="shared" si="6"/>
        <v>Pending</v>
      </c>
      <c r="R197">
        <f t="shared" si="7"/>
        <v>11416</v>
      </c>
    </row>
    <row r="198" spans="1:18">
      <c r="A198">
        <v>197</v>
      </c>
      <c r="B198" t="s">
        <v>754</v>
      </c>
      <c r="C198" t="s">
        <v>755</v>
      </c>
      <c r="D198" t="s">
        <v>43</v>
      </c>
      <c r="E198" t="s">
        <v>152</v>
      </c>
      <c r="F198" t="s">
        <v>99</v>
      </c>
      <c r="G198" t="s">
        <v>756</v>
      </c>
      <c r="H198" t="s">
        <v>22</v>
      </c>
      <c r="I198" t="s">
        <v>581</v>
      </c>
      <c r="J198" t="s">
        <v>83</v>
      </c>
      <c r="K198" t="s">
        <v>83</v>
      </c>
      <c r="L198" t="s">
        <v>24</v>
      </c>
      <c r="M198" t="s">
        <v>50</v>
      </c>
      <c r="N198" t="s">
        <v>71</v>
      </c>
      <c r="O198">
        <v>15977</v>
      </c>
      <c r="P198">
        <v>1706</v>
      </c>
      <c r="Q198" t="str">
        <f t="shared" si="6"/>
        <v>Pending</v>
      </c>
      <c r="R198">
        <f t="shared" si="7"/>
        <v>14271</v>
      </c>
    </row>
    <row r="199" spans="1:18">
      <c r="A199">
        <v>198</v>
      </c>
      <c r="B199" t="s">
        <v>757</v>
      </c>
      <c r="C199" t="s">
        <v>758</v>
      </c>
      <c r="D199" t="s">
        <v>23</v>
      </c>
      <c r="E199" t="s">
        <v>80</v>
      </c>
      <c r="F199" t="s">
        <v>66</v>
      </c>
      <c r="G199" t="s">
        <v>759</v>
      </c>
      <c r="H199" t="s">
        <v>19</v>
      </c>
      <c r="I199" t="s">
        <v>158</v>
      </c>
      <c r="J199" t="s">
        <v>110</v>
      </c>
      <c r="K199" t="s">
        <v>111</v>
      </c>
      <c r="L199" t="s">
        <v>18</v>
      </c>
      <c r="M199" t="s">
        <v>50</v>
      </c>
      <c r="N199" t="s">
        <v>77</v>
      </c>
      <c r="O199">
        <v>38938</v>
      </c>
      <c r="P199">
        <v>8549</v>
      </c>
      <c r="Q199" t="str">
        <f t="shared" si="6"/>
        <v>Pending</v>
      </c>
      <c r="R199">
        <f t="shared" si="7"/>
        <v>30389</v>
      </c>
    </row>
    <row r="200" spans="1:18">
      <c r="A200">
        <v>199</v>
      </c>
      <c r="B200" t="s">
        <v>760</v>
      </c>
      <c r="C200" t="s">
        <v>761</v>
      </c>
      <c r="D200" t="s">
        <v>23</v>
      </c>
      <c r="E200" t="s">
        <v>80</v>
      </c>
      <c r="F200" t="s">
        <v>118</v>
      </c>
      <c r="G200" t="s">
        <v>762</v>
      </c>
      <c r="H200" t="s">
        <v>19</v>
      </c>
      <c r="I200" t="s">
        <v>288</v>
      </c>
      <c r="J200" t="s">
        <v>83</v>
      </c>
      <c r="K200" t="s">
        <v>83</v>
      </c>
      <c r="L200" t="s">
        <v>24</v>
      </c>
      <c r="M200" t="s">
        <v>45</v>
      </c>
      <c r="N200" t="s">
        <v>84</v>
      </c>
      <c r="O200">
        <v>17243</v>
      </c>
      <c r="P200">
        <v>9150</v>
      </c>
      <c r="Q200" t="str">
        <f t="shared" si="6"/>
        <v>Pending</v>
      </c>
      <c r="R200">
        <f t="shared" si="7"/>
        <v>8093</v>
      </c>
    </row>
    <row r="201" spans="1:18">
      <c r="A201">
        <v>200</v>
      </c>
      <c r="B201" t="s">
        <v>763</v>
      </c>
      <c r="C201" t="s">
        <v>764</v>
      </c>
      <c r="D201" t="s">
        <v>40</v>
      </c>
      <c r="E201" t="s">
        <v>152</v>
      </c>
      <c r="F201" t="s">
        <v>66</v>
      </c>
      <c r="G201" t="s">
        <v>765</v>
      </c>
      <c r="H201" t="s">
        <v>27</v>
      </c>
      <c r="I201" t="s">
        <v>766</v>
      </c>
      <c r="J201" t="s">
        <v>95</v>
      </c>
      <c r="K201" t="s">
        <v>96</v>
      </c>
      <c r="L201" t="s">
        <v>21</v>
      </c>
      <c r="M201" t="s">
        <v>42</v>
      </c>
      <c r="N201" t="s">
        <v>71</v>
      </c>
      <c r="O201">
        <v>8691</v>
      </c>
      <c r="P201">
        <v>700</v>
      </c>
      <c r="Q201" t="str">
        <f t="shared" si="6"/>
        <v>Pending</v>
      </c>
      <c r="R201">
        <f t="shared" si="7"/>
        <v>7991</v>
      </c>
    </row>
    <row r="202" spans="1:18">
      <c r="A202">
        <v>201</v>
      </c>
      <c r="B202" t="s">
        <v>767</v>
      </c>
      <c r="C202" t="s">
        <v>768</v>
      </c>
      <c r="D202" t="s">
        <v>17</v>
      </c>
      <c r="E202" t="s">
        <v>80</v>
      </c>
      <c r="F202" t="s">
        <v>66</v>
      </c>
      <c r="G202" t="s">
        <v>769</v>
      </c>
      <c r="H202" t="s">
        <v>27</v>
      </c>
      <c r="I202" t="s">
        <v>770</v>
      </c>
      <c r="J202" t="s">
        <v>125</v>
      </c>
      <c r="K202" t="s">
        <v>111</v>
      </c>
      <c r="L202" t="s">
        <v>18</v>
      </c>
      <c r="M202" t="s">
        <v>46</v>
      </c>
      <c r="N202" t="s">
        <v>71</v>
      </c>
      <c r="O202">
        <v>24413</v>
      </c>
      <c r="P202">
        <v>23303</v>
      </c>
      <c r="Q202" t="str">
        <f t="shared" si="6"/>
        <v>Pending</v>
      </c>
      <c r="R202">
        <f t="shared" si="7"/>
        <v>1110</v>
      </c>
    </row>
    <row r="203" spans="1:18">
      <c r="A203">
        <v>202</v>
      </c>
      <c r="B203" t="s">
        <v>771</v>
      </c>
      <c r="C203" t="s">
        <v>772</v>
      </c>
      <c r="D203" t="s">
        <v>40</v>
      </c>
      <c r="E203" t="s">
        <v>152</v>
      </c>
      <c r="F203" t="s">
        <v>88</v>
      </c>
      <c r="G203" t="s">
        <v>773</v>
      </c>
      <c r="H203" t="s">
        <v>29</v>
      </c>
      <c r="I203" t="s">
        <v>359</v>
      </c>
      <c r="J203" t="s">
        <v>83</v>
      </c>
      <c r="K203" t="s">
        <v>83</v>
      </c>
      <c r="L203" t="s">
        <v>24</v>
      </c>
      <c r="M203" t="s">
        <v>50</v>
      </c>
      <c r="N203" t="s">
        <v>77</v>
      </c>
      <c r="O203">
        <v>45716</v>
      </c>
      <c r="P203">
        <v>39637</v>
      </c>
      <c r="Q203" t="str">
        <f t="shared" si="6"/>
        <v>Pending</v>
      </c>
      <c r="R203">
        <f t="shared" si="7"/>
        <v>6079</v>
      </c>
    </row>
    <row r="204" spans="1:18">
      <c r="A204">
        <v>203</v>
      </c>
      <c r="B204" t="s">
        <v>774</v>
      </c>
      <c r="C204" t="s">
        <v>775</v>
      </c>
      <c r="D204" t="s">
        <v>40</v>
      </c>
      <c r="E204" t="s">
        <v>152</v>
      </c>
      <c r="F204" t="s">
        <v>118</v>
      </c>
      <c r="G204" t="s">
        <v>776</v>
      </c>
      <c r="H204" t="s">
        <v>29</v>
      </c>
      <c r="I204" t="s">
        <v>212</v>
      </c>
      <c r="J204" t="s">
        <v>83</v>
      </c>
      <c r="K204" t="s">
        <v>83</v>
      </c>
      <c r="L204" t="s">
        <v>24</v>
      </c>
      <c r="M204" t="s">
        <v>48</v>
      </c>
      <c r="N204" t="s">
        <v>71</v>
      </c>
      <c r="O204">
        <v>13108</v>
      </c>
      <c r="P204">
        <v>11023</v>
      </c>
      <c r="Q204" t="str">
        <f t="shared" si="6"/>
        <v>Pending</v>
      </c>
      <c r="R204">
        <f t="shared" si="7"/>
        <v>2085</v>
      </c>
    </row>
    <row r="205" spans="1:18">
      <c r="A205">
        <v>204</v>
      </c>
      <c r="B205" t="s">
        <v>777</v>
      </c>
      <c r="C205" t="s">
        <v>778</v>
      </c>
      <c r="D205" t="s">
        <v>40</v>
      </c>
      <c r="E205" t="s">
        <v>152</v>
      </c>
      <c r="F205" t="s">
        <v>88</v>
      </c>
      <c r="G205" t="s">
        <v>779</v>
      </c>
      <c r="H205" t="s">
        <v>19</v>
      </c>
      <c r="I205" t="s">
        <v>137</v>
      </c>
      <c r="J205" t="s">
        <v>95</v>
      </c>
      <c r="K205" t="s">
        <v>96</v>
      </c>
      <c r="L205" t="s">
        <v>21</v>
      </c>
      <c r="M205" t="s">
        <v>45</v>
      </c>
      <c r="N205" t="s">
        <v>84</v>
      </c>
      <c r="O205">
        <v>39585</v>
      </c>
      <c r="P205">
        <v>6231</v>
      </c>
      <c r="Q205" t="str">
        <f t="shared" si="6"/>
        <v>Pending</v>
      </c>
      <c r="R205">
        <f t="shared" si="7"/>
        <v>33354</v>
      </c>
    </row>
    <row r="206" spans="1:18">
      <c r="A206">
        <v>205</v>
      </c>
      <c r="B206" t="s">
        <v>780</v>
      </c>
      <c r="C206" t="s">
        <v>781</v>
      </c>
      <c r="D206" t="s">
        <v>28</v>
      </c>
      <c r="E206" t="s">
        <v>65</v>
      </c>
      <c r="F206" t="s">
        <v>88</v>
      </c>
      <c r="G206" t="s">
        <v>782</v>
      </c>
      <c r="H206" t="s">
        <v>22</v>
      </c>
      <c r="I206" t="s">
        <v>783</v>
      </c>
      <c r="J206" t="s">
        <v>125</v>
      </c>
      <c r="K206" t="s">
        <v>111</v>
      </c>
      <c r="L206" t="s">
        <v>18</v>
      </c>
      <c r="M206" t="s">
        <v>48</v>
      </c>
      <c r="N206" t="s">
        <v>71</v>
      </c>
      <c r="O206">
        <v>26423</v>
      </c>
      <c r="P206">
        <v>12246</v>
      </c>
      <c r="Q206" t="str">
        <f t="shared" si="6"/>
        <v>Pending</v>
      </c>
      <c r="R206">
        <f t="shared" si="7"/>
        <v>14177</v>
      </c>
    </row>
    <row r="207" spans="1:18">
      <c r="A207">
        <v>206</v>
      </c>
      <c r="B207" t="s">
        <v>784</v>
      </c>
      <c r="C207" t="s">
        <v>785</v>
      </c>
      <c r="D207" t="s">
        <v>26</v>
      </c>
      <c r="E207" t="s">
        <v>65</v>
      </c>
      <c r="F207" t="s">
        <v>88</v>
      </c>
      <c r="G207" t="s">
        <v>786</v>
      </c>
      <c r="H207" t="s">
        <v>19</v>
      </c>
      <c r="I207" t="s">
        <v>267</v>
      </c>
      <c r="J207" t="s">
        <v>95</v>
      </c>
      <c r="K207" t="s">
        <v>96</v>
      </c>
      <c r="L207" t="s">
        <v>21</v>
      </c>
      <c r="M207" t="s">
        <v>45</v>
      </c>
      <c r="N207" t="s">
        <v>77</v>
      </c>
      <c r="O207">
        <v>40564</v>
      </c>
      <c r="P207">
        <v>8688</v>
      </c>
      <c r="Q207" t="str">
        <f t="shared" si="6"/>
        <v>Pending</v>
      </c>
      <c r="R207">
        <f t="shared" si="7"/>
        <v>31876</v>
      </c>
    </row>
    <row r="208" spans="1:18">
      <c r="A208">
        <v>207</v>
      </c>
      <c r="B208" t="s">
        <v>787</v>
      </c>
      <c r="C208" t="s">
        <v>788</v>
      </c>
      <c r="D208" t="s">
        <v>36</v>
      </c>
      <c r="E208" t="s">
        <v>152</v>
      </c>
      <c r="F208" t="s">
        <v>88</v>
      </c>
      <c r="G208" t="s">
        <v>789</v>
      </c>
      <c r="H208" t="s">
        <v>29</v>
      </c>
      <c r="I208" t="s">
        <v>275</v>
      </c>
      <c r="J208" t="s">
        <v>83</v>
      </c>
      <c r="K208" t="s">
        <v>83</v>
      </c>
      <c r="L208" t="s">
        <v>24</v>
      </c>
      <c r="M208" t="s">
        <v>50</v>
      </c>
      <c r="N208" t="s">
        <v>71</v>
      </c>
      <c r="O208">
        <v>7320</v>
      </c>
      <c r="P208">
        <v>1127</v>
      </c>
      <c r="Q208" t="str">
        <f t="shared" si="6"/>
        <v>Pending</v>
      </c>
      <c r="R208">
        <f t="shared" si="7"/>
        <v>6193</v>
      </c>
    </row>
    <row r="209" spans="1:18">
      <c r="A209">
        <v>208</v>
      </c>
      <c r="B209" t="s">
        <v>790</v>
      </c>
      <c r="C209" t="s">
        <v>791</v>
      </c>
      <c r="D209" t="s">
        <v>20</v>
      </c>
      <c r="E209" t="s">
        <v>80</v>
      </c>
      <c r="F209" t="s">
        <v>88</v>
      </c>
      <c r="G209" t="s">
        <v>792</v>
      </c>
      <c r="H209" t="s">
        <v>29</v>
      </c>
      <c r="I209" t="s">
        <v>638</v>
      </c>
      <c r="J209" t="s">
        <v>110</v>
      </c>
      <c r="K209" t="s">
        <v>111</v>
      </c>
      <c r="L209" t="s">
        <v>18</v>
      </c>
      <c r="M209" t="s">
        <v>48</v>
      </c>
      <c r="N209" t="s">
        <v>77</v>
      </c>
      <c r="O209">
        <v>31935</v>
      </c>
      <c r="P209">
        <v>16481</v>
      </c>
      <c r="Q209" t="str">
        <f t="shared" si="6"/>
        <v>Pending</v>
      </c>
      <c r="R209">
        <f t="shared" si="7"/>
        <v>15454</v>
      </c>
    </row>
    <row r="210" spans="1:18">
      <c r="A210">
        <v>209</v>
      </c>
      <c r="B210" t="s">
        <v>793</v>
      </c>
      <c r="C210" t="s">
        <v>794</v>
      </c>
      <c r="D210" t="s">
        <v>33</v>
      </c>
      <c r="E210" t="s">
        <v>87</v>
      </c>
      <c r="F210" t="s">
        <v>118</v>
      </c>
      <c r="G210" t="s">
        <v>795</v>
      </c>
      <c r="H210" t="s">
        <v>25</v>
      </c>
      <c r="I210" t="s">
        <v>796</v>
      </c>
      <c r="J210" t="s">
        <v>110</v>
      </c>
      <c r="K210" t="s">
        <v>111</v>
      </c>
      <c r="L210" t="s">
        <v>18</v>
      </c>
      <c r="M210" t="s">
        <v>42</v>
      </c>
      <c r="N210" t="s">
        <v>71</v>
      </c>
      <c r="O210">
        <v>43714</v>
      </c>
      <c r="P210">
        <v>19140</v>
      </c>
      <c r="Q210" t="str">
        <f t="shared" si="6"/>
        <v>Pending</v>
      </c>
      <c r="R210">
        <f t="shared" si="7"/>
        <v>24574</v>
      </c>
    </row>
    <row r="211" spans="1:18">
      <c r="A211">
        <v>210</v>
      </c>
      <c r="B211" t="s">
        <v>797</v>
      </c>
      <c r="C211" t="s">
        <v>798</v>
      </c>
      <c r="D211" t="s">
        <v>28</v>
      </c>
      <c r="E211" t="s">
        <v>65</v>
      </c>
      <c r="F211" t="s">
        <v>99</v>
      </c>
      <c r="G211" t="s">
        <v>799</v>
      </c>
      <c r="H211" t="s">
        <v>25</v>
      </c>
      <c r="I211" t="s">
        <v>392</v>
      </c>
      <c r="J211" t="s">
        <v>125</v>
      </c>
      <c r="K211" t="s">
        <v>111</v>
      </c>
      <c r="L211" t="s">
        <v>18</v>
      </c>
      <c r="M211" t="s">
        <v>42</v>
      </c>
      <c r="N211" t="s">
        <v>77</v>
      </c>
      <c r="O211">
        <v>42464</v>
      </c>
      <c r="P211">
        <v>40763</v>
      </c>
      <c r="Q211" t="str">
        <f t="shared" si="6"/>
        <v>Pending</v>
      </c>
      <c r="R211">
        <f t="shared" si="7"/>
        <v>1701</v>
      </c>
    </row>
    <row r="212" spans="1:18">
      <c r="A212">
        <v>211</v>
      </c>
      <c r="B212" t="s">
        <v>800</v>
      </c>
      <c r="C212" t="s">
        <v>801</v>
      </c>
      <c r="D212" t="s">
        <v>30</v>
      </c>
      <c r="E212" t="s">
        <v>65</v>
      </c>
      <c r="F212" t="s">
        <v>99</v>
      </c>
      <c r="G212" t="s">
        <v>802</v>
      </c>
      <c r="H212" t="s">
        <v>27</v>
      </c>
      <c r="I212" t="s">
        <v>352</v>
      </c>
      <c r="J212" t="s">
        <v>125</v>
      </c>
      <c r="K212" t="s">
        <v>111</v>
      </c>
      <c r="L212" t="s">
        <v>18</v>
      </c>
      <c r="M212" t="s">
        <v>42</v>
      </c>
      <c r="N212" t="s">
        <v>71</v>
      </c>
      <c r="O212">
        <v>38680</v>
      </c>
      <c r="P212">
        <v>23249</v>
      </c>
      <c r="Q212" t="str">
        <f t="shared" si="6"/>
        <v>Pending</v>
      </c>
      <c r="R212">
        <f t="shared" si="7"/>
        <v>15431</v>
      </c>
    </row>
    <row r="213" spans="1:18">
      <c r="A213">
        <v>212</v>
      </c>
      <c r="B213" t="s">
        <v>803</v>
      </c>
      <c r="C213" t="s">
        <v>804</v>
      </c>
      <c r="D213" t="s">
        <v>40</v>
      </c>
      <c r="E213" t="s">
        <v>152</v>
      </c>
      <c r="F213" t="s">
        <v>66</v>
      </c>
      <c r="G213" t="s">
        <v>805</v>
      </c>
      <c r="H213" t="s">
        <v>29</v>
      </c>
      <c r="I213" t="s">
        <v>186</v>
      </c>
      <c r="J213" t="s">
        <v>110</v>
      </c>
      <c r="K213" t="s">
        <v>111</v>
      </c>
      <c r="L213" t="s">
        <v>18</v>
      </c>
      <c r="M213" t="s">
        <v>45</v>
      </c>
      <c r="N213" t="s">
        <v>84</v>
      </c>
      <c r="O213">
        <v>46440</v>
      </c>
      <c r="P213">
        <v>10769</v>
      </c>
      <c r="Q213" t="str">
        <f t="shared" si="6"/>
        <v>Pending</v>
      </c>
      <c r="R213">
        <f t="shared" si="7"/>
        <v>35671</v>
      </c>
    </row>
    <row r="214" spans="1:18">
      <c r="A214">
        <v>213</v>
      </c>
      <c r="B214" t="s">
        <v>806</v>
      </c>
      <c r="C214" t="s">
        <v>807</v>
      </c>
      <c r="D214" t="s">
        <v>28</v>
      </c>
      <c r="E214" t="s">
        <v>65</v>
      </c>
      <c r="F214" t="s">
        <v>74</v>
      </c>
      <c r="G214" t="s">
        <v>808</v>
      </c>
      <c r="H214" t="s">
        <v>25</v>
      </c>
      <c r="I214" t="s">
        <v>433</v>
      </c>
      <c r="J214" t="s">
        <v>110</v>
      </c>
      <c r="K214" t="s">
        <v>111</v>
      </c>
      <c r="L214" t="s">
        <v>18</v>
      </c>
      <c r="M214" t="s">
        <v>45</v>
      </c>
      <c r="N214" t="s">
        <v>84</v>
      </c>
      <c r="O214">
        <v>34283</v>
      </c>
      <c r="P214">
        <v>23613</v>
      </c>
      <c r="Q214" t="str">
        <f t="shared" si="6"/>
        <v>Pending</v>
      </c>
      <c r="R214">
        <f t="shared" si="7"/>
        <v>10670</v>
      </c>
    </row>
    <row r="215" spans="1:18">
      <c r="A215">
        <v>214</v>
      </c>
      <c r="B215" t="s">
        <v>809</v>
      </c>
      <c r="C215" t="s">
        <v>810</v>
      </c>
      <c r="D215" t="s">
        <v>43</v>
      </c>
      <c r="E215" t="s">
        <v>152</v>
      </c>
      <c r="F215" t="s">
        <v>118</v>
      </c>
      <c r="G215" t="s">
        <v>811</v>
      </c>
      <c r="H215" t="s">
        <v>27</v>
      </c>
      <c r="I215" t="s">
        <v>68</v>
      </c>
      <c r="J215" t="s">
        <v>95</v>
      </c>
      <c r="K215" t="s">
        <v>96</v>
      </c>
      <c r="L215" t="s">
        <v>21</v>
      </c>
      <c r="M215" t="s">
        <v>42</v>
      </c>
      <c r="N215" t="s">
        <v>71</v>
      </c>
      <c r="O215">
        <v>34700</v>
      </c>
      <c r="P215">
        <v>27931</v>
      </c>
      <c r="Q215" t="str">
        <f t="shared" si="6"/>
        <v>Pending</v>
      </c>
      <c r="R215">
        <f t="shared" si="7"/>
        <v>6769</v>
      </c>
    </row>
    <row r="216" spans="1:18">
      <c r="A216">
        <v>215</v>
      </c>
      <c r="B216" t="s">
        <v>812</v>
      </c>
      <c r="C216" t="s">
        <v>813</v>
      </c>
      <c r="D216" t="s">
        <v>20</v>
      </c>
      <c r="E216" t="s">
        <v>80</v>
      </c>
      <c r="F216" t="s">
        <v>66</v>
      </c>
      <c r="G216" t="s">
        <v>814</v>
      </c>
      <c r="H216" t="s">
        <v>19</v>
      </c>
      <c r="I216" t="s">
        <v>154</v>
      </c>
      <c r="J216" t="s">
        <v>110</v>
      </c>
      <c r="K216" t="s">
        <v>111</v>
      </c>
      <c r="L216" t="s">
        <v>18</v>
      </c>
      <c r="M216" t="s">
        <v>48</v>
      </c>
      <c r="N216" t="s">
        <v>71</v>
      </c>
      <c r="O216">
        <v>10679</v>
      </c>
      <c r="P216">
        <v>10227</v>
      </c>
      <c r="Q216" t="str">
        <f t="shared" si="6"/>
        <v>Pending</v>
      </c>
      <c r="R216">
        <f t="shared" si="7"/>
        <v>452</v>
      </c>
    </row>
    <row r="217" spans="1:18">
      <c r="A217">
        <v>216</v>
      </c>
      <c r="B217" t="s">
        <v>815</v>
      </c>
      <c r="C217" t="s">
        <v>816</v>
      </c>
      <c r="D217" t="s">
        <v>40</v>
      </c>
      <c r="E217" t="s">
        <v>152</v>
      </c>
      <c r="F217" t="s">
        <v>88</v>
      </c>
      <c r="G217" t="s">
        <v>817</v>
      </c>
      <c r="H217" t="s">
        <v>27</v>
      </c>
      <c r="I217" t="s">
        <v>531</v>
      </c>
      <c r="J217" t="s">
        <v>95</v>
      </c>
      <c r="K217" t="s">
        <v>96</v>
      </c>
      <c r="L217" t="s">
        <v>21</v>
      </c>
      <c r="M217" t="s">
        <v>50</v>
      </c>
      <c r="N217" t="s">
        <v>84</v>
      </c>
      <c r="O217">
        <v>11020</v>
      </c>
      <c r="P217">
        <v>3850</v>
      </c>
      <c r="Q217" t="str">
        <f t="shared" si="6"/>
        <v>Pending</v>
      </c>
      <c r="R217">
        <f t="shared" si="7"/>
        <v>7170</v>
      </c>
    </row>
    <row r="218" spans="1:18">
      <c r="A218">
        <v>217</v>
      </c>
      <c r="B218" t="s">
        <v>818</v>
      </c>
      <c r="C218" t="s">
        <v>819</v>
      </c>
      <c r="D218" t="s">
        <v>40</v>
      </c>
      <c r="E218" t="s">
        <v>152</v>
      </c>
      <c r="F218" t="s">
        <v>118</v>
      </c>
      <c r="G218" t="s">
        <v>820</v>
      </c>
      <c r="H218" t="s">
        <v>22</v>
      </c>
      <c r="I218" t="s">
        <v>821</v>
      </c>
      <c r="J218" t="s">
        <v>83</v>
      </c>
      <c r="K218" t="s">
        <v>83</v>
      </c>
      <c r="L218" t="s">
        <v>24</v>
      </c>
      <c r="M218" t="s">
        <v>45</v>
      </c>
      <c r="N218" t="s">
        <v>77</v>
      </c>
      <c r="O218">
        <v>20365</v>
      </c>
      <c r="P218">
        <v>4611</v>
      </c>
      <c r="Q218" t="str">
        <f t="shared" si="6"/>
        <v>Pending</v>
      </c>
      <c r="R218">
        <f t="shared" si="7"/>
        <v>15754</v>
      </c>
    </row>
    <row r="219" spans="1:18">
      <c r="A219">
        <v>218</v>
      </c>
      <c r="B219" t="s">
        <v>822</v>
      </c>
      <c r="C219" t="s">
        <v>823</v>
      </c>
      <c r="D219" t="s">
        <v>33</v>
      </c>
      <c r="E219" t="s">
        <v>87</v>
      </c>
      <c r="F219" t="s">
        <v>88</v>
      </c>
      <c r="G219" t="s">
        <v>824</v>
      </c>
      <c r="H219" t="s">
        <v>27</v>
      </c>
      <c r="I219" t="s">
        <v>141</v>
      </c>
      <c r="J219" t="s">
        <v>83</v>
      </c>
      <c r="K219" t="s">
        <v>83</v>
      </c>
      <c r="L219" t="s">
        <v>24</v>
      </c>
      <c r="M219" t="s">
        <v>42</v>
      </c>
      <c r="N219" t="s">
        <v>84</v>
      </c>
      <c r="O219">
        <v>30981</v>
      </c>
      <c r="P219">
        <v>6824</v>
      </c>
      <c r="Q219" t="str">
        <f t="shared" si="6"/>
        <v>Pending</v>
      </c>
      <c r="R219">
        <f t="shared" si="7"/>
        <v>24157</v>
      </c>
    </row>
    <row r="220" spans="1:18">
      <c r="A220">
        <v>219</v>
      </c>
      <c r="B220" t="s">
        <v>825</v>
      </c>
      <c r="C220" t="s">
        <v>826</v>
      </c>
      <c r="D220" t="s">
        <v>40</v>
      </c>
      <c r="E220" t="s">
        <v>152</v>
      </c>
      <c r="F220" t="s">
        <v>99</v>
      </c>
      <c r="G220" t="s">
        <v>827</v>
      </c>
      <c r="H220" t="s">
        <v>29</v>
      </c>
      <c r="I220" t="s">
        <v>120</v>
      </c>
      <c r="J220" t="s">
        <v>125</v>
      </c>
      <c r="K220" t="s">
        <v>111</v>
      </c>
      <c r="L220" t="s">
        <v>18</v>
      </c>
      <c r="M220" t="s">
        <v>46</v>
      </c>
      <c r="N220" t="s">
        <v>77</v>
      </c>
      <c r="O220">
        <v>40591</v>
      </c>
      <c r="P220">
        <v>7663</v>
      </c>
      <c r="Q220" t="str">
        <f t="shared" si="6"/>
        <v>Pending</v>
      </c>
      <c r="R220">
        <f t="shared" si="7"/>
        <v>32928</v>
      </c>
    </row>
    <row r="221" spans="1:18">
      <c r="A221">
        <v>220</v>
      </c>
      <c r="B221" t="s">
        <v>828</v>
      </c>
      <c r="C221" t="s">
        <v>829</v>
      </c>
      <c r="D221" t="s">
        <v>43</v>
      </c>
      <c r="E221" t="s">
        <v>152</v>
      </c>
      <c r="F221" t="s">
        <v>66</v>
      </c>
      <c r="G221" t="s">
        <v>830</v>
      </c>
      <c r="H221" t="s">
        <v>25</v>
      </c>
      <c r="I221" t="s">
        <v>133</v>
      </c>
      <c r="J221" t="s">
        <v>110</v>
      </c>
      <c r="K221" t="s">
        <v>111</v>
      </c>
      <c r="L221" t="s">
        <v>18</v>
      </c>
      <c r="M221" t="s">
        <v>50</v>
      </c>
      <c r="N221" t="s">
        <v>84</v>
      </c>
      <c r="O221">
        <v>22132</v>
      </c>
      <c r="P221">
        <v>11576</v>
      </c>
      <c r="Q221" t="str">
        <f t="shared" si="6"/>
        <v>Pending</v>
      </c>
      <c r="R221">
        <f t="shared" si="7"/>
        <v>10556</v>
      </c>
    </row>
    <row r="222" spans="1:18">
      <c r="A222">
        <v>221</v>
      </c>
      <c r="B222" t="s">
        <v>831</v>
      </c>
      <c r="C222" t="s">
        <v>832</v>
      </c>
      <c r="D222" t="s">
        <v>30</v>
      </c>
      <c r="E222" t="s">
        <v>65</v>
      </c>
      <c r="F222" t="s">
        <v>118</v>
      </c>
      <c r="G222" t="s">
        <v>833</v>
      </c>
      <c r="H222" t="s">
        <v>27</v>
      </c>
      <c r="I222" t="s">
        <v>223</v>
      </c>
      <c r="J222" t="s">
        <v>95</v>
      </c>
      <c r="K222" t="s">
        <v>96</v>
      </c>
      <c r="L222" t="s">
        <v>21</v>
      </c>
      <c r="M222" t="s">
        <v>50</v>
      </c>
      <c r="N222" t="s">
        <v>71</v>
      </c>
      <c r="O222">
        <v>48831</v>
      </c>
      <c r="P222">
        <v>8254</v>
      </c>
      <c r="Q222" t="str">
        <f t="shared" si="6"/>
        <v>Pending</v>
      </c>
      <c r="R222">
        <f t="shared" si="7"/>
        <v>40577</v>
      </c>
    </row>
    <row r="223" spans="1:18">
      <c r="A223">
        <v>222</v>
      </c>
      <c r="B223" t="s">
        <v>834</v>
      </c>
      <c r="C223" t="s">
        <v>835</v>
      </c>
      <c r="D223" t="s">
        <v>26</v>
      </c>
      <c r="E223" t="s">
        <v>65</v>
      </c>
      <c r="F223" t="s">
        <v>88</v>
      </c>
      <c r="G223" t="s">
        <v>836</v>
      </c>
      <c r="H223" t="s">
        <v>22</v>
      </c>
      <c r="I223" t="s">
        <v>339</v>
      </c>
      <c r="J223" t="s">
        <v>110</v>
      </c>
      <c r="K223" t="s">
        <v>111</v>
      </c>
      <c r="L223" t="s">
        <v>18</v>
      </c>
      <c r="M223" t="s">
        <v>45</v>
      </c>
      <c r="N223" t="s">
        <v>84</v>
      </c>
      <c r="O223">
        <v>25673</v>
      </c>
      <c r="P223">
        <v>7124</v>
      </c>
      <c r="Q223" t="str">
        <f t="shared" si="6"/>
        <v>Pending</v>
      </c>
      <c r="R223">
        <f t="shared" si="7"/>
        <v>18549</v>
      </c>
    </row>
    <row r="224" spans="1:18">
      <c r="A224">
        <v>223</v>
      </c>
      <c r="B224" t="s">
        <v>837</v>
      </c>
      <c r="C224" t="s">
        <v>838</v>
      </c>
      <c r="D224" t="s">
        <v>32</v>
      </c>
      <c r="E224" t="s">
        <v>87</v>
      </c>
      <c r="F224" t="s">
        <v>118</v>
      </c>
      <c r="G224" t="s">
        <v>839</v>
      </c>
      <c r="H224" t="s">
        <v>27</v>
      </c>
      <c r="I224" t="s">
        <v>691</v>
      </c>
      <c r="J224" t="s">
        <v>69</v>
      </c>
      <c r="K224" t="s">
        <v>70</v>
      </c>
      <c r="L224" t="s">
        <v>21</v>
      </c>
      <c r="M224" t="s">
        <v>42</v>
      </c>
      <c r="N224" t="s">
        <v>71</v>
      </c>
      <c r="O224">
        <v>45229</v>
      </c>
      <c r="P224">
        <v>37697</v>
      </c>
      <c r="Q224" t="str">
        <f t="shared" si="6"/>
        <v>Pending</v>
      </c>
      <c r="R224">
        <f t="shared" si="7"/>
        <v>7532</v>
      </c>
    </row>
    <row r="225" spans="1:18">
      <c r="A225">
        <v>224</v>
      </c>
      <c r="B225" t="s">
        <v>840</v>
      </c>
      <c r="C225" t="s">
        <v>841</v>
      </c>
      <c r="D225" t="s">
        <v>20</v>
      </c>
      <c r="E225" t="s">
        <v>80</v>
      </c>
      <c r="F225" t="s">
        <v>99</v>
      </c>
      <c r="G225" t="s">
        <v>842</v>
      </c>
      <c r="H225" t="s">
        <v>19</v>
      </c>
      <c r="I225" t="s">
        <v>182</v>
      </c>
      <c r="J225" t="s">
        <v>125</v>
      </c>
      <c r="K225" t="s">
        <v>111</v>
      </c>
      <c r="L225" t="s">
        <v>18</v>
      </c>
      <c r="M225" t="s">
        <v>42</v>
      </c>
      <c r="N225" t="s">
        <v>84</v>
      </c>
      <c r="O225">
        <v>47693</v>
      </c>
      <c r="P225">
        <v>28081</v>
      </c>
      <c r="Q225" t="str">
        <f t="shared" si="6"/>
        <v>Pending</v>
      </c>
      <c r="R225">
        <f t="shared" si="7"/>
        <v>19612</v>
      </c>
    </row>
    <row r="226" spans="1:18">
      <c r="A226">
        <v>225</v>
      </c>
      <c r="B226" t="s">
        <v>843</v>
      </c>
      <c r="C226" t="s">
        <v>844</v>
      </c>
      <c r="D226" t="s">
        <v>40</v>
      </c>
      <c r="E226" t="s">
        <v>152</v>
      </c>
      <c r="F226" t="s">
        <v>66</v>
      </c>
      <c r="G226" t="s">
        <v>845</v>
      </c>
      <c r="H226" t="s">
        <v>27</v>
      </c>
      <c r="I226" t="s">
        <v>846</v>
      </c>
      <c r="J226" t="s">
        <v>95</v>
      </c>
      <c r="K226" t="s">
        <v>96</v>
      </c>
      <c r="L226" t="s">
        <v>21</v>
      </c>
      <c r="M226" t="s">
        <v>45</v>
      </c>
      <c r="N226" t="s">
        <v>77</v>
      </c>
      <c r="O226">
        <v>11012</v>
      </c>
      <c r="P226">
        <v>428</v>
      </c>
      <c r="Q226" t="str">
        <f t="shared" si="6"/>
        <v>Pending</v>
      </c>
      <c r="R226">
        <f t="shared" si="7"/>
        <v>10584</v>
      </c>
    </row>
    <row r="227" spans="1:18">
      <c r="A227">
        <v>226</v>
      </c>
      <c r="B227" t="s">
        <v>847</v>
      </c>
      <c r="C227" t="s">
        <v>848</v>
      </c>
      <c r="D227" t="s">
        <v>30</v>
      </c>
      <c r="E227" t="s">
        <v>65</v>
      </c>
      <c r="F227" t="s">
        <v>99</v>
      </c>
      <c r="G227" t="s">
        <v>849</v>
      </c>
      <c r="H227" t="s">
        <v>27</v>
      </c>
      <c r="I227" t="s">
        <v>599</v>
      </c>
      <c r="J227" t="s">
        <v>110</v>
      </c>
      <c r="K227" t="s">
        <v>111</v>
      </c>
      <c r="L227" t="s">
        <v>18</v>
      </c>
      <c r="M227" t="s">
        <v>50</v>
      </c>
      <c r="N227" t="s">
        <v>84</v>
      </c>
      <c r="O227">
        <v>12529</v>
      </c>
      <c r="P227">
        <v>10970</v>
      </c>
      <c r="Q227" t="str">
        <f t="shared" si="6"/>
        <v>Pending</v>
      </c>
      <c r="R227">
        <f t="shared" si="7"/>
        <v>1559</v>
      </c>
    </row>
    <row r="228" spans="1:18">
      <c r="A228">
        <v>227</v>
      </c>
      <c r="B228" t="s">
        <v>850</v>
      </c>
      <c r="C228" t="s">
        <v>851</v>
      </c>
      <c r="D228" t="s">
        <v>33</v>
      </c>
      <c r="E228" t="s">
        <v>87</v>
      </c>
      <c r="F228" t="s">
        <v>88</v>
      </c>
      <c r="G228" t="s">
        <v>852</v>
      </c>
      <c r="H228" t="s">
        <v>25</v>
      </c>
      <c r="I228" t="s">
        <v>853</v>
      </c>
      <c r="J228" t="s">
        <v>95</v>
      </c>
      <c r="K228" t="s">
        <v>96</v>
      </c>
      <c r="L228" t="s">
        <v>21</v>
      </c>
      <c r="M228" t="s">
        <v>42</v>
      </c>
      <c r="N228" t="s">
        <v>71</v>
      </c>
      <c r="O228">
        <v>45145</v>
      </c>
      <c r="P228">
        <v>31957</v>
      </c>
      <c r="Q228" t="str">
        <f t="shared" si="6"/>
        <v>Pending</v>
      </c>
      <c r="R228">
        <f t="shared" si="7"/>
        <v>13188</v>
      </c>
    </row>
    <row r="229" spans="1:18">
      <c r="A229">
        <v>228</v>
      </c>
      <c r="B229" t="s">
        <v>854</v>
      </c>
      <c r="C229" t="s">
        <v>855</v>
      </c>
      <c r="D229" t="s">
        <v>23</v>
      </c>
      <c r="E229" t="s">
        <v>80</v>
      </c>
      <c r="F229" t="s">
        <v>74</v>
      </c>
      <c r="G229" t="s">
        <v>856</v>
      </c>
      <c r="H229" t="s">
        <v>22</v>
      </c>
      <c r="I229" t="s">
        <v>204</v>
      </c>
      <c r="J229" t="s">
        <v>69</v>
      </c>
      <c r="K229" t="s">
        <v>70</v>
      </c>
      <c r="L229" t="s">
        <v>21</v>
      </c>
      <c r="M229" t="s">
        <v>45</v>
      </c>
      <c r="N229" t="s">
        <v>71</v>
      </c>
      <c r="O229">
        <v>49072</v>
      </c>
      <c r="P229">
        <v>38754</v>
      </c>
      <c r="Q229" t="str">
        <f t="shared" si="6"/>
        <v>Pending</v>
      </c>
      <c r="R229">
        <f t="shared" si="7"/>
        <v>10318</v>
      </c>
    </row>
    <row r="230" spans="1:18">
      <c r="A230">
        <v>229</v>
      </c>
      <c r="B230" t="s">
        <v>857</v>
      </c>
      <c r="C230" t="s">
        <v>858</v>
      </c>
      <c r="D230" t="s">
        <v>43</v>
      </c>
      <c r="E230" t="s">
        <v>152</v>
      </c>
      <c r="F230" t="s">
        <v>66</v>
      </c>
      <c r="G230" t="s">
        <v>859</v>
      </c>
      <c r="H230" t="s">
        <v>22</v>
      </c>
      <c r="I230" t="s">
        <v>271</v>
      </c>
      <c r="J230" t="s">
        <v>83</v>
      </c>
      <c r="K230" t="s">
        <v>83</v>
      </c>
      <c r="L230" t="s">
        <v>24</v>
      </c>
      <c r="M230" t="s">
        <v>46</v>
      </c>
      <c r="N230" t="s">
        <v>77</v>
      </c>
      <c r="O230">
        <v>28478</v>
      </c>
      <c r="P230">
        <v>3452</v>
      </c>
      <c r="Q230" t="str">
        <f t="shared" si="6"/>
        <v>Pending</v>
      </c>
      <c r="R230">
        <f t="shared" si="7"/>
        <v>25026</v>
      </c>
    </row>
    <row r="231" spans="1:18">
      <c r="A231">
        <v>230</v>
      </c>
      <c r="B231" t="s">
        <v>860</v>
      </c>
      <c r="C231" t="s">
        <v>861</v>
      </c>
      <c r="D231" t="s">
        <v>31</v>
      </c>
      <c r="E231" t="s">
        <v>87</v>
      </c>
      <c r="F231" t="s">
        <v>99</v>
      </c>
      <c r="G231" t="s">
        <v>862</v>
      </c>
      <c r="H231" t="s">
        <v>29</v>
      </c>
      <c r="I231" t="s">
        <v>129</v>
      </c>
      <c r="J231" t="s">
        <v>95</v>
      </c>
      <c r="K231" t="s">
        <v>96</v>
      </c>
      <c r="L231" t="s">
        <v>21</v>
      </c>
      <c r="M231" t="s">
        <v>42</v>
      </c>
      <c r="N231" t="s">
        <v>77</v>
      </c>
      <c r="O231">
        <v>39720</v>
      </c>
      <c r="P231">
        <v>12394</v>
      </c>
      <c r="Q231" t="str">
        <f t="shared" si="6"/>
        <v>Pending</v>
      </c>
      <c r="R231">
        <f t="shared" si="7"/>
        <v>27326</v>
      </c>
    </row>
    <row r="232" spans="1:18">
      <c r="A232">
        <v>231</v>
      </c>
      <c r="B232" t="s">
        <v>863</v>
      </c>
      <c r="C232" t="s">
        <v>864</v>
      </c>
      <c r="D232" t="s">
        <v>26</v>
      </c>
      <c r="E232" t="s">
        <v>65</v>
      </c>
      <c r="F232" t="s">
        <v>118</v>
      </c>
      <c r="G232" t="s">
        <v>865</v>
      </c>
      <c r="H232" t="s">
        <v>19</v>
      </c>
      <c r="I232" t="s">
        <v>599</v>
      </c>
      <c r="J232" t="s">
        <v>69</v>
      </c>
      <c r="K232" t="s">
        <v>70</v>
      </c>
      <c r="L232" t="s">
        <v>21</v>
      </c>
      <c r="M232" t="s">
        <v>48</v>
      </c>
      <c r="N232" t="s">
        <v>71</v>
      </c>
      <c r="O232">
        <v>15206</v>
      </c>
      <c r="P232">
        <v>3706</v>
      </c>
      <c r="Q232" t="str">
        <f t="shared" si="6"/>
        <v>Pending</v>
      </c>
      <c r="R232">
        <f t="shared" si="7"/>
        <v>11500</v>
      </c>
    </row>
    <row r="233" spans="1:18">
      <c r="A233">
        <v>232</v>
      </c>
      <c r="B233" t="s">
        <v>866</v>
      </c>
      <c r="C233" t="s">
        <v>867</v>
      </c>
      <c r="D233" t="s">
        <v>23</v>
      </c>
      <c r="E233" t="s">
        <v>80</v>
      </c>
      <c r="F233" t="s">
        <v>88</v>
      </c>
      <c r="G233" t="s">
        <v>868</v>
      </c>
      <c r="H233" t="s">
        <v>29</v>
      </c>
      <c r="I233" t="s">
        <v>76</v>
      </c>
      <c r="J233" t="s">
        <v>125</v>
      </c>
      <c r="K233" t="s">
        <v>111</v>
      </c>
      <c r="L233" t="s">
        <v>18</v>
      </c>
      <c r="M233" t="s">
        <v>46</v>
      </c>
      <c r="N233" t="s">
        <v>77</v>
      </c>
      <c r="O233">
        <v>25663</v>
      </c>
      <c r="P233">
        <v>10309</v>
      </c>
      <c r="Q233" t="str">
        <f t="shared" si="6"/>
        <v>Pending</v>
      </c>
      <c r="R233">
        <f t="shared" si="7"/>
        <v>15354</v>
      </c>
    </row>
    <row r="234" spans="1:18">
      <c r="A234">
        <v>233</v>
      </c>
      <c r="B234" t="s">
        <v>869</v>
      </c>
      <c r="C234" t="s">
        <v>870</v>
      </c>
      <c r="D234" t="s">
        <v>30</v>
      </c>
      <c r="E234" t="s">
        <v>65</v>
      </c>
      <c r="F234" t="s">
        <v>88</v>
      </c>
      <c r="G234" t="s">
        <v>871</v>
      </c>
      <c r="H234" t="s">
        <v>27</v>
      </c>
      <c r="I234" t="s">
        <v>352</v>
      </c>
      <c r="J234" t="s">
        <v>83</v>
      </c>
      <c r="K234" t="s">
        <v>83</v>
      </c>
      <c r="L234" t="s">
        <v>24</v>
      </c>
      <c r="M234" t="s">
        <v>50</v>
      </c>
      <c r="N234" t="s">
        <v>77</v>
      </c>
      <c r="O234">
        <v>23427</v>
      </c>
      <c r="P234">
        <v>19776</v>
      </c>
      <c r="Q234" t="str">
        <f t="shared" si="6"/>
        <v>Pending</v>
      </c>
      <c r="R234">
        <f t="shared" si="7"/>
        <v>3651</v>
      </c>
    </row>
    <row r="235" spans="1:18">
      <c r="A235">
        <v>234</v>
      </c>
      <c r="B235" t="s">
        <v>872</v>
      </c>
      <c r="C235" t="s">
        <v>873</v>
      </c>
      <c r="D235" t="s">
        <v>36</v>
      </c>
      <c r="E235" t="s">
        <v>152</v>
      </c>
      <c r="F235" t="s">
        <v>118</v>
      </c>
      <c r="G235" t="s">
        <v>874</v>
      </c>
      <c r="H235" t="s">
        <v>22</v>
      </c>
      <c r="I235" t="s">
        <v>170</v>
      </c>
      <c r="J235" t="s">
        <v>125</v>
      </c>
      <c r="K235" t="s">
        <v>111</v>
      </c>
      <c r="L235" t="s">
        <v>18</v>
      </c>
      <c r="M235" t="s">
        <v>50</v>
      </c>
      <c r="N235" t="s">
        <v>84</v>
      </c>
      <c r="O235">
        <v>27791</v>
      </c>
      <c r="P235">
        <v>16149</v>
      </c>
      <c r="Q235" t="str">
        <f t="shared" si="6"/>
        <v>Pending</v>
      </c>
      <c r="R235">
        <f t="shared" si="7"/>
        <v>11642</v>
      </c>
    </row>
    <row r="236" spans="1:18">
      <c r="A236">
        <v>235</v>
      </c>
      <c r="B236" t="s">
        <v>875</v>
      </c>
      <c r="C236" t="s">
        <v>876</v>
      </c>
      <c r="D236" t="s">
        <v>26</v>
      </c>
      <c r="E236" t="s">
        <v>65</v>
      </c>
      <c r="F236" t="s">
        <v>118</v>
      </c>
      <c r="G236" t="s">
        <v>877</v>
      </c>
      <c r="H236" t="s">
        <v>25</v>
      </c>
      <c r="I236" t="s">
        <v>208</v>
      </c>
      <c r="J236" t="s">
        <v>69</v>
      </c>
      <c r="K236" t="s">
        <v>70</v>
      </c>
      <c r="L236" t="s">
        <v>21</v>
      </c>
      <c r="M236" t="s">
        <v>50</v>
      </c>
      <c r="N236" t="s">
        <v>84</v>
      </c>
      <c r="O236">
        <v>38831</v>
      </c>
      <c r="P236">
        <v>1911</v>
      </c>
      <c r="Q236" t="str">
        <f t="shared" si="6"/>
        <v>Pending</v>
      </c>
      <c r="R236">
        <f t="shared" si="7"/>
        <v>36920</v>
      </c>
    </row>
    <row r="237" spans="1:18">
      <c r="A237">
        <v>236</v>
      </c>
      <c r="B237" t="s">
        <v>878</v>
      </c>
      <c r="C237" t="s">
        <v>879</v>
      </c>
      <c r="D237" t="s">
        <v>43</v>
      </c>
      <c r="E237" t="s">
        <v>152</v>
      </c>
      <c r="F237" t="s">
        <v>99</v>
      </c>
      <c r="G237" t="s">
        <v>880</v>
      </c>
      <c r="H237" t="s">
        <v>27</v>
      </c>
      <c r="I237" t="s">
        <v>129</v>
      </c>
      <c r="J237" t="s">
        <v>69</v>
      </c>
      <c r="K237" t="s">
        <v>70</v>
      </c>
      <c r="L237" t="s">
        <v>21</v>
      </c>
      <c r="M237" t="s">
        <v>48</v>
      </c>
      <c r="N237" t="s">
        <v>84</v>
      </c>
      <c r="O237">
        <v>48776</v>
      </c>
      <c r="P237">
        <v>8607</v>
      </c>
      <c r="Q237" t="str">
        <f t="shared" si="6"/>
        <v>Pending</v>
      </c>
      <c r="R237">
        <f t="shared" si="7"/>
        <v>40169</v>
      </c>
    </row>
    <row r="238" spans="1:18">
      <c r="A238">
        <v>237</v>
      </c>
      <c r="B238" t="s">
        <v>881</v>
      </c>
      <c r="C238" t="s">
        <v>882</v>
      </c>
      <c r="D238" t="s">
        <v>17</v>
      </c>
      <c r="E238" t="s">
        <v>80</v>
      </c>
      <c r="F238" t="s">
        <v>66</v>
      </c>
      <c r="G238" t="s">
        <v>883</v>
      </c>
      <c r="H238" t="s">
        <v>29</v>
      </c>
      <c r="I238" t="s">
        <v>158</v>
      </c>
      <c r="J238" t="s">
        <v>110</v>
      </c>
      <c r="K238" t="s">
        <v>111</v>
      </c>
      <c r="L238" t="s">
        <v>18</v>
      </c>
      <c r="M238" t="s">
        <v>42</v>
      </c>
      <c r="N238" t="s">
        <v>84</v>
      </c>
      <c r="O238">
        <v>23239</v>
      </c>
      <c r="P238">
        <v>17315</v>
      </c>
      <c r="Q238" t="str">
        <f t="shared" si="6"/>
        <v>Pending</v>
      </c>
      <c r="R238">
        <f t="shared" si="7"/>
        <v>5924</v>
      </c>
    </row>
    <row r="239" spans="1:18">
      <c r="A239">
        <v>238</v>
      </c>
      <c r="B239" t="s">
        <v>884</v>
      </c>
      <c r="C239" t="s">
        <v>885</v>
      </c>
      <c r="D239" t="s">
        <v>36</v>
      </c>
      <c r="E239" t="s">
        <v>152</v>
      </c>
      <c r="F239" t="s">
        <v>88</v>
      </c>
      <c r="G239" t="s">
        <v>886</v>
      </c>
      <c r="H239" t="s">
        <v>29</v>
      </c>
      <c r="I239" t="s">
        <v>887</v>
      </c>
      <c r="J239" t="s">
        <v>69</v>
      </c>
      <c r="K239" t="s">
        <v>70</v>
      </c>
      <c r="L239" t="s">
        <v>21</v>
      </c>
      <c r="M239" t="s">
        <v>45</v>
      </c>
      <c r="N239" t="s">
        <v>71</v>
      </c>
      <c r="O239">
        <v>26519</v>
      </c>
      <c r="P239">
        <v>21375</v>
      </c>
      <c r="Q239" t="str">
        <f t="shared" si="6"/>
        <v>Pending</v>
      </c>
      <c r="R239">
        <f t="shared" si="7"/>
        <v>5144</v>
      </c>
    </row>
    <row r="240" spans="1:18">
      <c r="A240">
        <v>239</v>
      </c>
      <c r="B240" t="s">
        <v>888</v>
      </c>
      <c r="C240" t="s">
        <v>889</v>
      </c>
      <c r="D240" t="s">
        <v>20</v>
      </c>
      <c r="E240" t="s">
        <v>80</v>
      </c>
      <c r="F240" t="s">
        <v>99</v>
      </c>
      <c r="G240" t="s">
        <v>890</v>
      </c>
      <c r="H240" t="s">
        <v>25</v>
      </c>
      <c r="I240" t="s">
        <v>561</v>
      </c>
      <c r="J240" t="s">
        <v>95</v>
      </c>
      <c r="K240" t="s">
        <v>96</v>
      </c>
      <c r="L240" t="s">
        <v>21</v>
      </c>
      <c r="M240" t="s">
        <v>50</v>
      </c>
      <c r="N240" t="s">
        <v>77</v>
      </c>
      <c r="O240">
        <v>22710</v>
      </c>
      <c r="P240">
        <v>11931</v>
      </c>
      <c r="Q240" t="str">
        <f t="shared" si="6"/>
        <v>Pending</v>
      </c>
      <c r="R240">
        <f t="shared" si="7"/>
        <v>10779</v>
      </c>
    </row>
    <row r="241" spans="1:18">
      <c r="A241">
        <v>240</v>
      </c>
      <c r="B241" t="s">
        <v>891</v>
      </c>
      <c r="C241" t="s">
        <v>892</v>
      </c>
      <c r="D241" t="s">
        <v>32</v>
      </c>
      <c r="E241" t="s">
        <v>87</v>
      </c>
      <c r="F241" t="s">
        <v>99</v>
      </c>
      <c r="G241" t="s">
        <v>893</v>
      </c>
      <c r="H241" t="s">
        <v>29</v>
      </c>
      <c r="I241" t="s">
        <v>94</v>
      </c>
      <c r="J241" t="s">
        <v>95</v>
      </c>
      <c r="K241" t="s">
        <v>96</v>
      </c>
      <c r="L241" t="s">
        <v>21</v>
      </c>
      <c r="M241" t="s">
        <v>42</v>
      </c>
      <c r="N241" t="s">
        <v>71</v>
      </c>
      <c r="O241">
        <v>14547</v>
      </c>
      <c r="P241">
        <v>10385</v>
      </c>
      <c r="Q241" t="str">
        <f t="shared" si="6"/>
        <v>Pending</v>
      </c>
      <c r="R241">
        <f t="shared" si="7"/>
        <v>4162</v>
      </c>
    </row>
    <row r="242" spans="1:18">
      <c r="A242">
        <v>241</v>
      </c>
      <c r="B242" t="s">
        <v>894</v>
      </c>
      <c r="C242" t="s">
        <v>895</v>
      </c>
      <c r="D242" t="s">
        <v>32</v>
      </c>
      <c r="E242" t="s">
        <v>87</v>
      </c>
      <c r="F242" t="s">
        <v>118</v>
      </c>
      <c r="G242" t="s">
        <v>896</v>
      </c>
      <c r="H242" t="s">
        <v>25</v>
      </c>
      <c r="I242" t="s">
        <v>548</v>
      </c>
      <c r="J242" t="s">
        <v>110</v>
      </c>
      <c r="K242" t="s">
        <v>111</v>
      </c>
      <c r="L242" t="s">
        <v>18</v>
      </c>
      <c r="M242" t="s">
        <v>46</v>
      </c>
      <c r="N242" t="s">
        <v>84</v>
      </c>
      <c r="O242">
        <v>46140</v>
      </c>
      <c r="P242">
        <v>26265</v>
      </c>
      <c r="Q242" t="str">
        <f t="shared" si="6"/>
        <v>Pending</v>
      </c>
      <c r="R242">
        <f t="shared" si="7"/>
        <v>19875</v>
      </c>
    </row>
    <row r="243" spans="1:18">
      <c r="A243">
        <v>242</v>
      </c>
      <c r="B243" t="s">
        <v>897</v>
      </c>
      <c r="C243" t="s">
        <v>898</v>
      </c>
      <c r="D243" t="s">
        <v>20</v>
      </c>
      <c r="E243" t="s">
        <v>80</v>
      </c>
      <c r="F243" t="s">
        <v>66</v>
      </c>
      <c r="G243" t="s">
        <v>899</v>
      </c>
      <c r="H243" t="s">
        <v>19</v>
      </c>
      <c r="I243" t="s">
        <v>325</v>
      </c>
      <c r="J243" t="s">
        <v>83</v>
      </c>
      <c r="K243" t="s">
        <v>83</v>
      </c>
      <c r="L243" t="s">
        <v>24</v>
      </c>
      <c r="M243" t="s">
        <v>42</v>
      </c>
      <c r="N243" t="s">
        <v>84</v>
      </c>
      <c r="O243">
        <v>43891</v>
      </c>
      <c r="P243">
        <v>40053</v>
      </c>
      <c r="Q243" t="str">
        <f t="shared" si="6"/>
        <v>Pending</v>
      </c>
      <c r="R243">
        <f t="shared" si="7"/>
        <v>3838</v>
      </c>
    </row>
    <row r="244" spans="1:18">
      <c r="A244">
        <v>243</v>
      </c>
      <c r="B244" t="s">
        <v>900</v>
      </c>
      <c r="C244" t="s">
        <v>901</v>
      </c>
      <c r="D244" t="s">
        <v>36</v>
      </c>
      <c r="E244" t="s">
        <v>152</v>
      </c>
      <c r="F244" t="s">
        <v>118</v>
      </c>
      <c r="G244" t="s">
        <v>902</v>
      </c>
      <c r="H244" t="s">
        <v>22</v>
      </c>
      <c r="I244" t="s">
        <v>162</v>
      </c>
      <c r="J244" t="s">
        <v>69</v>
      </c>
      <c r="K244" t="s">
        <v>70</v>
      </c>
      <c r="L244" t="s">
        <v>21</v>
      </c>
      <c r="M244" t="s">
        <v>46</v>
      </c>
      <c r="N244" t="s">
        <v>84</v>
      </c>
      <c r="O244">
        <v>30313</v>
      </c>
      <c r="P244">
        <v>2237</v>
      </c>
      <c r="Q244" t="str">
        <f t="shared" si="6"/>
        <v>Pending</v>
      </c>
      <c r="R244">
        <f t="shared" si="7"/>
        <v>28076</v>
      </c>
    </row>
    <row r="245" spans="1:18">
      <c r="A245">
        <v>244</v>
      </c>
      <c r="B245" t="s">
        <v>903</v>
      </c>
      <c r="C245" t="s">
        <v>904</v>
      </c>
      <c r="D245" t="s">
        <v>33</v>
      </c>
      <c r="E245" t="s">
        <v>87</v>
      </c>
      <c r="F245" t="s">
        <v>66</v>
      </c>
      <c r="G245" t="s">
        <v>905</v>
      </c>
      <c r="H245" t="s">
        <v>29</v>
      </c>
      <c r="I245" t="s">
        <v>223</v>
      </c>
      <c r="J245" t="s">
        <v>83</v>
      </c>
      <c r="K245" t="s">
        <v>83</v>
      </c>
      <c r="L245" t="s">
        <v>24</v>
      </c>
      <c r="M245" t="s">
        <v>46</v>
      </c>
      <c r="N245" t="s">
        <v>77</v>
      </c>
      <c r="O245">
        <v>44094</v>
      </c>
      <c r="P245">
        <v>4919</v>
      </c>
      <c r="Q245" t="str">
        <f t="shared" si="6"/>
        <v>Pending</v>
      </c>
      <c r="R245">
        <f t="shared" si="7"/>
        <v>39175</v>
      </c>
    </row>
    <row r="246" spans="1:18">
      <c r="A246">
        <v>245</v>
      </c>
      <c r="B246" t="s">
        <v>906</v>
      </c>
      <c r="C246" t="s">
        <v>907</v>
      </c>
      <c r="D246" t="s">
        <v>17</v>
      </c>
      <c r="E246" t="s">
        <v>80</v>
      </c>
      <c r="F246" t="s">
        <v>118</v>
      </c>
      <c r="G246" t="s">
        <v>908</v>
      </c>
      <c r="H246" t="s">
        <v>29</v>
      </c>
      <c r="I246" t="s">
        <v>660</v>
      </c>
      <c r="J246" t="s">
        <v>110</v>
      </c>
      <c r="K246" t="s">
        <v>111</v>
      </c>
      <c r="L246" t="s">
        <v>18</v>
      </c>
      <c r="M246" t="s">
        <v>50</v>
      </c>
      <c r="N246" t="s">
        <v>71</v>
      </c>
      <c r="O246">
        <v>49073</v>
      </c>
      <c r="P246">
        <v>4268</v>
      </c>
      <c r="Q246" t="str">
        <f t="shared" si="6"/>
        <v>Pending</v>
      </c>
      <c r="R246">
        <f t="shared" si="7"/>
        <v>44805</v>
      </c>
    </row>
    <row r="247" spans="1:18">
      <c r="A247">
        <v>246</v>
      </c>
      <c r="B247" t="s">
        <v>909</v>
      </c>
      <c r="C247" t="s">
        <v>910</v>
      </c>
      <c r="D247" t="s">
        <v>26</v>
      </c>
      <c r="E247" t="s">
        <v>65</v>
      </c>
      <c r="F247" t="s">
        <v>88</v>
      </c>
      <c r="G247" t="s">
        <v>911</v>
      </c>
      <c r="H247" t="s">
        <v>25</v>
      </c>
      <c r="I247" t="s">
        <v>912</v>
      </c>
      <c r="J247" t="s">
        <v>125</v>
      </c>
      <c r="K247" t="s">
        <v>111</v>
      </c>
      <c r="L247" t="s">
        <v>18</v>
      </c>
      <c r="M247" t="s">
        <v>45</v>
      </c>
      <c r="N247" t="s">
        <v>77</v>
      </c>
      <c r="O247">
        <v>17818</v>
      </c>
      <c r="P247">
        <v>9692</v>
      </c>
      <c r="Q247" t="str">
        <f t="shared" si="6"/>
        <v>Pending</v>
      </c>
      <c r="R247">
        <f t="shared" si="7"/>
        <v>8126</v>
      </c>
    </row>
    <row r="248" spans="1:18">
      <c r="A248">
        <v>247</v>
      </c>
      <c r="B248" t="s">
        <v>913</v>
      </c>
      <c r="C248" t="s">
        <v>914</v>
      </c>
      <c r="D248" t="s">
        <v>30</v>
      </c>
      <c r="E248" t="s">
        <v>65</v>
      </c>
      <c r="F248" t="s">
        <v>118</v>
      </c>
      <c r="G248" t="s">
        <v>915</v>
      </c>
      <c r="H248" t="s">
        <v>19</v>
      </c>
      <c r="I248" t="s">
        <v>384</v>
      </c>
      <c r="J248" t="s">
        <v>83</v>
      </c>
      <c r="K248" t="s">
        <v>83</v>
      </c>
      <c r="L248" t="s">
        <v>24</v>
      </c>
      <c r="M248" t="s">
        <v>48</v>
      </c>
      <c r="N248" t="s">
        <v>77</v>
      </c>
      <c r="O248">
        <v>31126</v>
      </c>
      <c r="P248">
        <v>10039</v>
      </c>
      <c r="Q248" t="str">
        <f t="shared" si="6"/>
        <v>Pending</v>
      </c>
      <c r="R248">
        <f t="shared" si="7"/>
        <v>21087</v>
      </c>
    </row>
    <row r="249" spans="1:18">
      <c r="A249">
        <v>248</v>
      </c>
      <c r="B249" t="s">
        <v>916</v>
      </c>
      <c r="C249" t="s">
        <v>917</v>
      </c>
      <c r="D249" t="s">
        <v>43</v>
      </c>
      <c r="E249" t="s">
        <v>152</v>
      </c>
      <c r="F249" t="s">
        <v>99</v>
      </c>
      <c r="G249" t="s">
        <v>918</v>
      </c>
      <c r="H249" t="s">
        <v>27</v>
      </c>
      <c r="I249" t="s">
        <v>919</v>
      </c>
      <c r="J249" t="s">
        <v>110</v>
      </c>
      <c r="K249" t="s">
        <v>111</v>
      </c>
      <c r="L249" t="s">
        <v>18</v>
      </c>
      <c r="M249" t="s">
        <v>45</v>
      </c>
      <c r="N249" t="s">
        <v>77</v>
      </c>
      <c r="O249">
        <v>10537</v>
      </c>
      <c r="P249">
        <v>2877</v>
      </c>
      <c r="Q249" t="str">
        <f t="shared" si="6"/>
        <v>Pending</v>
      </c>
      <c r="R249">
        <f t="shared" si="7"/>
        <v>7660</v>
      </c>
    </row>
    <row r="250" spans="1:18">
      <c r="A250">
        <v>249</v>
      </c>
      <c r="B250" t="s">
        <v>920</v>
      </c>
      <c r="C250" t="s">
        <v>921</v>
      </c>
      <c r="D250" t="s">
        <v>31</v>
      </c>
      <c r="E250" t="s">
        <v>87</v>
      </c>
      <c r="F250" t="s">
        <v>99</v>
      </c>
      <c r="G250" t="s">
        <v>922</v>
      </c>
      <c r="H250" t="s">
        <v>27</v>
      </c>
      <c r="I250" t="s">
        <v>388</v>
      </c>
      <c r="J250" t="s">
        <v>95</v>
      </c>
      <c r="K250" t="s">
        <v>96</v>
      </c>
      <c r="L250" t="s">
        <v>21</v>
      </c>
      <c r="M250" t="s">
        <v>50</v>
      </c>
      <c r="N250" t="s">
        <v>84</v>
      </c>
      <c r="O250">
        <v>42264</v>
      </c>
      <c r="P250">
        <v>19305</v>
      </c>
      <c r="Q250" t="str">
        <f t="shared" si="6"/>
        <v>Pending</v>
      </c>
      <c r="R250">
        <f t="shared" si="7"/>
        <v>22959</v>
      </c>
    </row>
    <row r="251" spans="1:18">
      <c r="A251">
        <v>250</v>
      </c>
      <c r="B251" t="s">
        <v>923</v>
      </c>
      <c r="C251" t="s">
        <v>924</v>
      </c>
      <c r="D251" t="s">
        <v>30</v>
      </c>
      <c r="E251" t="s">
        <v>65</v>
      </c>
      <c r="F251" t="s">
        <v>118</v>
      </c>
      <c r="G251" t="s">
        <v>925</v>
      </c>
      <c r="H251" t="s">
        <v>27</v>
      </c>
      <c r="I251" t="s">
        <v>124</v>
      </c>
      <c r="J251" t="s">
        <v>83</v>
      </c>
      <c r="K251" t="s">
        <v>83</v>
      </c>
      <c r="L251" t="s">
        <v>24</v>
      </c>
      <c r="M251" t="s">
        <v>50</v>
      </c>
      <c r="N251" t="s">
        <v>77</v>
      </c>
      <c r="O251">
        <v>42190</v>
      </c>
      <c r="P251">
        <v>39784</v>
      </c>
      <c r="Q251" t="str">
        <f t="shared" si="6"/>
        <v>Pending</v>
      </c>
      <c r="R251">
        <f t="shared" si="7"/>
        <v>2406</v>
      </c>
    </row>
    <row r="252" spans="1:18">
      <c r="A252">
        <v>251</v>
      </c>
      <c r="B252" t="s">
        <v>926</v>
      </c>
      <c r="C252" t="s">
        <v>927</v>
      </c>
      <c r="D252" t="s">
        <v>40</v>
      </c>
      <c r="E252" t="s">
        <v>152</v>
      </c>
      <c r="F252" t="s">
        <v>74</v>
      </c>
      <c r="G252" t="s">
        <v>928</v>
      </c>
      <c r="H252" t="s">
        <v>22</v>
      </c>
      <c r="I252" t="s">
        <v>388</v>
      </c>
      <c r="J252" t="s">
        <v>125</v>
      </c>
      <c r="K252" t="s">
        <v>111</v>
      </c>
      <c r="L252" t="s">
        <v>18</v>
      </c>
      <c r="M252" t="s">
        <v>48</v>
      </c>
      <c r="N252" t="s">
        <v>84</v>
      </c>
      <c r="O252">
        <v>13815</v>
      </c>
      <c r="P252">
        <v>2429</v>
      </c>
      <c r="Q252" t="str">
        <f t="shared" si="6"/>
        <v>Pending</v>
      </c>
      <c r="R252">
        <f t="shared" si="7"/>
        <v>11386</v>
      </c>
    </row>
    <row r="253" spans="1:18">
      <c r="A253">
        <v>252</v>
      </c>
      <c r="B253" t="s">
        <v>929</v>
      </c>
      <c r="C253" t="s">
        <v>930</v>
      </c>
      <c r="D253" t="s">
        <v>30</v>
      </c>
      <c r="E253" t="s">
        <v>65</v>
      </c>
      <c r="F253" t="s">
        <v>118</v>
      </c>
      <c r="G253" t="s">
        <v>931</v>
      </c>
      <c r="H253" t="s">
        <v>29</v>
      </c>
      <c r="I253" t="s">
        <v>178</v>
      </c>
      <c r="J253" t="s">
        <v>95</v>
      </c>
      <c r="K253" t="s">
        <v>96</v>
      </c>
      <c r="L253" t="s">
        <v>21</v>
      </c>
      <c r="M253" t="s">
        <v>42</v>
      </c>
      <c r="N253" t="s">
        <v>84</v>
      </c>
      <c r="O253">
        <v>47903</v>
      </c>
      <c r="P253">
        <v>16833</v>
      </c>
      <c r="Q253" t="str">
        <f t="shared" si="6"/>
        <v>Pending</v>
      </c>
      <c r="R253">
        <f t="shared" si="7"/>
        <v>31070</v>
      </c>
    </row>
    <row r="254" spans="1:18">
      <c r="A254">
        <v>253</v>
      </c>
      <c r="B254" t="s">
        <v>932</v>
      </c>
      <c r="C254" t="s">
        <v>933</v>
      </c>
      <c r="D254" t="s">
        <v>36</v>
      </c>
      <c r="E254" t="s">
        <v>152</v>
      </c>
      <c r="F254" t="s">
        <v>66</v>
      </c>
      <c r="G254" t="s">
        <v>934</v>
      </c>
      <c r="H254" t="s">
        <v>22</v>
      </c>
      <c r="I254" t="s">
        <v>234</v>
      </c>
      <c r="J254" t="s">
        <v>125</v>
      </c>
      <c r="K254" t="s">
        <v>111</v>
      </c>
      <c r="L254" t="s">
        <v>18</v>
      </c>
      <c r="M254" t="s">
        <v>48</v>
      </c>
      <c r="N254" t="s">
        <v>71</v>
      </c>
      <c r="O254">
        <v>36887</v>
      </c>
      <c r="P254">
        <v>1644</v>
      </c>
      <c r="Q254" t="str">
        <f t="shared" si="6"/>
        <v>Pending</v>
      </c>
      <c r="R254">
        <f t="shared" si="7"/>
        <v>35243</v>
      </c>
    </row>
    <row r="255" spans="1:18">
      <c r="A255">
        <v>254</v>
      </c>
      <c r="B255" t="s">
        <v>935</v>
      </c>
      <c r="C255" t="s">
        <v>936</v>
      </c>
      <c r="D255" t="s">
        <v>43</v>
      </c>
      <c r="E255" t="s">
        <v>152</v>
      </c>
      <c r="F255" t="s">
        <v>66</v>
      </c>
      <c r="G255" t="s">
        <v>937</v>
      </c>
      <c r="H255" t="s">
        <v>25</v>
      </c>
      <c r="I255" t="s">
        <v>141</v>
      </c>
      <c r="J255" t="s">
        <v>125</v>
      </c>
      <c r="K255" t="s">
        <v>111</v>
      </c>
      <c r="L255" t="s">
        <v>18</v>
      </c>
      <c r="M255" t="s">
        <v>48</v>
      </c>
      <c r="N255" t="s">
        <v>84</v>
      </c>
      <c r="O255">
        <v>32961</v>
      </c>
      <c r="P255">
        <v>8339</v>
      </c>
      <c r="Q255" t="str">
        <f t="shared" si="6"/>
        <v>Pending</v>
      </c>
      <c r="R255">
        <f t="shared" si="7"/>
        <v>24622</v>
      </c>
    </row>
    <row r="256" spans="1:18">
      <c r="A256">
        <v>255</v>
      </c>
      <c r="B256" t="s">
        <v>938</v>
      </c>
      <c r="C256" t="s">
        <v>939</v>
      </c>
      <c r="D256" t="s">
        <v>23</v>
      </c>
      <c r="E256" t="s">
        <v>80</v>
      </c>
      <c r="F256" t="s">
        <v>99</v>
      </c>
      <c r="G256" t="s">
        <v>940</v>
      </c>
      <c r="H256" t="s">
        <v>25</v>
      </c>
      <c r="I256" t="s">
        <v>234</v>
      </c>
      <c r="J256" t="s">
        <v>69</v>
      </c>
      <c r="K256" t="s">
        <v>70</v>
      </c>
      <c r="L256" t="s">
        <v>21</v>
      </c>
      <c r="M256" t="s">
        <v>45</v>
      </c>
      <c r="N256" t="s">
        <v>77</v>
      </c>
      <c r="O256">
        <v>44694</v>
      </c>
      <c r="P256">
        <v>29857</v>
      </c>
      <c r="Q256" t="str">
        <f t="shared" si="6"/>
        <v>Pending</v>
      </c>
      <c r="R256">
        <f t="shared" si="7"/>
        <v>14837</v>
      </c>
    </row>
    <row r="257" spans="1:18">
      <c r="A257">
        <v>256</v>
      </c>
      <c r="B257" t="s">
        <v>941</v>
      </c>
      <c r="C257" t="s">
        <v>942</v>
      </c>
      <c r="D257" t="s">
        <v>31</v>
      </c>
      <c r="E257" t="s">
        <v>87</v>
      </c>
      <c r="F257" t="s">
        <v>88</v>
      </c>
      <c r="G257" t="s">
        <v>943</v>
      </c>
      <c r="H257" t="s">
        <v>29</v>
      </c>
      <c r="I257" t="s">
        <v>384</v>
      </c>
      <c r="J257" t="s">
        <v>95</v>
      </c>
      <c r="K257" t="s">
        <v>96</v>
      </c>
      <c r="L257" t="s">
        <v>21</v>
      </c>
      <c r="M257" t="s">
        <v>48</v>
      </c>
      <c r="N257" t="s">
        <v>84</v>
      </c>
      <c r="O257">
        <v>22752</v>
      </c>
      <c r="P257">
        <v>8933</v>
      </c>
      <c r="Q257" t="str">
        <f t="shared" si="6"/>
        <v>Pending</v>
      </c>
      <c r="R257">
        <f t="shared" si="7"/>
        <v>13819</v>
      </c>
    </row>
    <row r="258" spans="1:18">
      <c r="A258">
        <v>257</v>
      </c>
      <c r="B258" t="s">
        <v>944</v>
      </c>
      <c r="C258" t="s">
        <v>945</v>
      </c>
      <c r="D258" t="s">
        <v>36</v>
      </c>
      <c r="E258" t="s">
        <v>152</v>
      </c>
      <c r="F258" t="s">
        <v>74</v>
      </c>
      <c r="G258" t="s">
        <v>946</v>
      </c>
      <c r="H258" t="s">
        <v>29</v>
      </c>
      <c r="I258" t="s">
        <v>212</v>
      </c>
      <c r="J258" t="s">
        <v>125</v>
      </c>
      <c r="K258" t="s">
        <v>111</v>
      </c>
      <c r="L258" t="s">
        <v>18</v>
      </c>
      <c r="M258" t="s">
        <v>42</v>
      </c>
      <c r="N258" t="s">
        <v>84</v>
      </c>
      <c r="O258">
        <v>5780</v>
      </c>
      <c r="P258">
        <v>531</v>
      </c>
      <c r="Q258" t="str">
        <f t="shared" ref="Q258:Q321" si="8">IF(R258=0,"Received","Pending")</f>
        <v>Pending</v>
      </c>
      <c r="R258">
        <f t="shared" ref="R258:R321" si="9">O258-P258</f>
        <v>5249</v>
      </c>
    </row>
    <row r="259" spans="1:18">
      <c r="A259">
        <v>258</v>
      </c>
      <c r="B259" t="s">
        <v>947</v>
      </c>
      <c r="C259" t="s">
        <v>948</v>
      </c>
      <c r="D259" t="s">
        <v>33</v>
      </c>
      <c r="E259" t="s">
        <v>87</v>
      </c>
      <c r="F259" t="s">
        <v>66</v>
      </c>
      <c r="G259" t="s">
        <v>949</v>
      </c>
      <c r="H259" t="s">
        <v>29</v>
      </c>
      <c r="I259" t="s">
        <v>223</v>
      </c>
      <c r="J259" t="s">
        <v>110</v>
      </c>
      <c r="K259" t="s">
        <v>111</v>
      </c>
      <c r="L259" t="s">
        <v>18</v>
      </c>
      <c r="M259" t="s">
        <v>45</v>
      </c>
      <c r="N259" t="s">
        <v>77</v>
      </c>
      <c r="O259">
        <v>26452</v>
      </c>
      <c r="P259">
        <v>15405</v>
      </c>
      <c r="Q259" t="str">
        <f t="shared" si="8"/>
        <v>Pending</v>
      </c>
      <c r="R259">
        <f t="shared" si="9"/>
        <v>11047</v>
      </c>
    </row>
    <row r="260" spans="1:18">
      <c r="A260">
        <v>259</v>
      </c>
      <c r="B260" t="s">
        <v>950</v>
      </c>
      <c r="C260" t="s">
        <v>951</v>
      </c>
      <c r="D260" t="s">
        <v>31</v>
      </c>
      <c r="E260" t="s">
        <v>87</v>
      </c>
      <c r="F260" t="s">
        <v>74</v>
      </c>
      <c r="G260" t="s">
        <v>952</v>
      </c>
      <c r="H260" t="s">
        <v>27</v>
      </c>
      <c r="I260" t="s">
        <v>166</v>
      </c>
      <c r="J260" t="s">
        <v>125</v>
      </c>
      <c r="K260" t="s">
        <v>111</v>
      </c>
      <c r="L260" t="s">
        <v>18</v>
      </c>
      <c r="M260" t="s">
        <v>42</v>
      </c>
      <c r="N260" t="s">
        <v>84</v>
      </c>
      <c r="O260">
        <v>16578</v>
      </c>
      <c r="P260">
        <v>4162</v>
      </c>
      <c r="Q260" t="str">
        <f t="shared" si="8"/>
        <v>Pending</v>
      </c>
      <c r="R260">
        <f t="shared" si="9"/>
        <v>12416</v>
      </c>
    </row>
    <row r="261" spans="1:18">
      <c r="A261">
        <v>260</v>
      </c>
      <c r="B261" t="s">
        <v>953</v>
      </c>
      <c r="C261" t="s">
        <v>954</v>
      </c>
      <c r="D261" t="s">
        <v>26</v>
      </c>
      <c r="E261" t="s">
        <v>65</v>
      </c>
      <c r="F261" t="s">
        <v>66</v>
      </c>
      <c r="G261" t="s">
        <v>955</v>
      </c>
      <c r="H261" t="s">
        <v>19</v>
      </c>
      <c r="I261" t="s">
        <v>853</v>
      </c>
      <c r="J261" t="s">
        <v>110</v>
      </c>
      <c r="K261" t="s">
        <v>111</v>
      </c>
      <c r="L261" t="s">
        <v>18</v>
      </c>
      <c r="M261" t="s">
        <v>48</v>
      </c>
      <c r="N261" t="s">
        <v>84</v>
      </c>
      <c r="O261">
        <v>29753</v>
      </c>
      <c r="P261">
        <v>696</v>
      </c>
      <c r="Q261" t="str">
        <f t="shared" si="8"/>
        <v>Pending</v>
      </c>
      <c r="R261">
        <f t="shared" si="9"/>
        <v>29057</v>
      </c>
    </row>
    <row r="262" spans="1:18">
      <c r="A262">
        <v>261</v>
      </c>
      <c r="B262" t="s">
        <v>956</v>
      </c>
      <c r="C262" t="s">
        <v>957</v>
      </c>
      <c r="D262" t="s">
        <v>17</v>
      </c>
      <c r="E262" t="s">
        <v>80</v>
      </c>
      <c r="F262" t="s">
        <v>88</v>
      </c>
      <c r="G262" t="s">
        <v>958</v>
      </c>
      <c r="H262" t="s">
        <v>22</v>
      </c>
      <c r="I262" t="s">
        <v>474</v>
      </c>
      <c r="J262" t="s">
        <v>95</v>
      </c>
      <c r="K262" t="s">
        <v>96</v>
      </c>
      <c r="L262" t="s">
        <v>21</v>
      </c>
      <c r="M262" t="s">
        <v>46</v>
      </c>
      <c r="N262" t="s">
        <v>77</v>
      </c>
      <c r="O262">
        <v>24450</v>
      </c>
      <c r="P262">
        <v>343</v>
      </c>
      <c r="Q262" t="str">
        <f t="shared" si="8"/>
        <v>Pending</v>
      </c>
      <c r="R262">
        <f t="shared" si="9"/>
        <v>24107</v>
      </c>
    </row>
    <row r="263" spans="1:18">
      <c r="A263">
        <v>262</v>
      </c>
      <c r="B263" t="s">
        <v>959</v>
      </c>
      <c r="C263" t="s">
        <v>960</v>
      </c>
      <c r="D263" t="s">
        <v>26</v>
      </c>
      <c r="E263" t="s">
        <v>65</v>
      </c>
      <c r="F263" t="s">
        <v>88</v>
      </c>
      <c r="G263" t="s">
        <v>961</v>
      </c>
      <c r="H263" t="s">
        <v>29</v>
      </c>
      <c r="I263" t="s">
        <v>288</v>
      </c>
      <c r="J263" t="s">
        <v>110</v>
      </c>
      <c r="K263" t="s">
        <v>111</v>
      </c>
      <c r="L263" t="s">
        <v>18</v>
      </c>
      <c r="M263" t="s">
        <v>46</v>
      </c>
      <c r="N263" t="s">
        <v>77</v>
      </c>
      <c r="O263">
        <v>21160</v>
      </c>
      <c r="P263">
        <v>6008</v>
      </c>
      <c r="Q263" t="str">
        <f t="shared" si="8"/>
        <v>Pending</v>
      </c>
      <c r="R263">
        <f t="shared" si="9"/>
        <v>15152</v>
      </c>
    </row>
    <row r="264" spans="1:18">
      <c r="A264">
        <v>263</v>
      </c>
      <c r="B264" t="s">
        <v>962</v>
      </c>
      <c r="C264" t="s">
        <v>963</v>
      </c>
      <c r="D264" t="s">
        <v>28</v>
      </c>
      <c r="E264" t="s">
        <v>65</v>
      </c>
      <c r="F264" t="s">
        <v>88</v>
      </c>
      <c r="G264" t="s">
        <v>964</v>
      </c>
      <c r="H264" t="s">
        <v>25</v>
      </c>
      <c r="I264" t="s">
        <v>141</v>
      </c>
      <c r="J264" t="s">
        <v>95</v>
      </c>
      <c r="K264" t="s">
        <v>96</v>
      </c>
      <c r="L264" t="s">
        <v>21</v>
      </c>
      <c r="M264" t="s">
        <v>48</v>
      </c>
      <c r="N264" t="s">
        <v>84</v>
      </c>
      <c r="O264">
        <v>46283</v>
      </c>
      <c r="P264">
        <v>9023</v>
      </c>
      <c r="Q264" t="str">
        <f t="shared" si="8"/>
        <v>Pending</v>
      </c>
      <c r="R264">
        <f t="shared" si="9"/>
        <v>37260</v>
      </c>
    </row>
    <row r="265" spans="1:18">
      <c r="A265">
        <v>264</v>
      </c>
      <c r="B265" t="s">
        <v>965</v>
      </c>
      <c r="C265" t="s">
        <v>966</v>
      </c>
      <c r="D265" t="s">
        <v>30</v>
      </c>
      <c r="E265" t="s">
        <v>65</v>
      </c>
      <c r="F265" t="s">
        <v>118</v>
      </c>
      <c r="G265" t="s">
        <v>967</v>
      </c>
      <c r="H265" t="s">
        <v>29</v>
      </c>
      <c r="I265" t="s">
        <v>238</v>
      </c>
      <c r="J265" t="s">
        <v>95</v>
      </c>
      <c r="K265" t="s">
        <v>96</v>
      </c>
      <c r="L265" t="s">
        <v>21</v>
      </c>
      <c r="M265" t="s">
        <v>50</v>
      </c>
      <c r="N265" t="s">
        <v>71</v>
      </c>
      <c r="O265">
        <v>24922</v>
      </c>
      <c r="P265">
        <v>15646</v>
      </c>
      <c r="Q265" t="str">
        <f t="shared" si="8"/>
        <v>Pending</v>
      </c>
      <c r="R265">
        <f t="shared" si="9"/>
        <v>9276</v>
      </c>
    </row>
    <row r="266" spans="1:18">
      <c r="A266">
        <v>265</v>
      </c>
      <c r="B266" t="s">
        <v>968</v>
      </c>
      <c r="C266" t="s">
        <v>969</v>
      </c>
      <c r="D266" t="s">
        <v>30</v>
      </c>
      <c r="E266" t="s">
        <v>65</v>
      </c>
      <c r="F266" t="s">
        <v>66</v>
      </c>
      <c r="G266" t="s">
        <v>970</v>
      </c>
      <c r="H266" t="s">
        <v>27</v>
      </c>
      <c r="I266" t="s">
        <v>971</v>
      </c>
      <c r="J266" t="s">
        <v>69</v>
      </c>
      <c r="K266" t="s">
        <v>70</v>
      </c>
      <c r="L266" t="s">
        <v>21</v>
      </c>
      <c r="M266" t="s">
        <v>42</v>
      </c>
      <c r="N266" t="s">
        <v>84</v>
      </c>
      <c r="O266">
        <v>8502</v>
      </c>
      <c r="P266">
        <v>4682</v>
      </c>
      <c r="Q266" t="str">
        <f t="shared" si="8"/>
        <v>Pending</v>
      </c>
      <c r="R266">
        <f t="shared" si="9"/>
        <v>3820</v>
      </c>
    </row>
    <row r="267" spans="1:18">
      <c r="A267">
        <v>266</v>
      </c>
      <c r="B267" t="s">
        <v>972</v>
      </c>
      <c r="C267" t="s">
        <v>973</v>
      </c>
      <c r="D267" t="s">
        <v>20</v>
      </c>
      <c r="E267" t="s">
        <v>80</v>
      </c>
      <c r="F267" t="s">
        <v>118</v>
      </c>
      <c r="G267" t="s">
        <v>974</v>
      </c>
      <c r="H267" t="s">
        <v>22</v>
      </c>
      <c r="I267" t="s">
        <v>94</v>
      </c>
      <c r="J267" t="s">
        <v>95</v>
      </c>
      <c r="K267" t="s">
        <v>96</v>
      </c>
      <c r="L267" t="s">
        <v>21</v>
      </c>
      <c r="M267" t="s">
        <v>48</v>
      </c>
      <c r="N267" t="s">
        <v>71</v>
      </c>
      <c r="O267">
        <v>15940</v>
      </c>
      <c r="P267">
        <v>8779</v>
      </c>
      <c r="Q267" t="str">
        <f t="shared" si="8"/>
        <v>Pending</v>
      </c>
      <c r="R267">
        <f t="shared" si="9"/>
        <v>7161</v>
      </c>
    </row>
    <row r="268" spans="1:18">
      <c r="A268">
        <v>267</v>
      </c>
      <c r="B268" t="s">
        <v>975</v>
      </c>
      <c r="C268" t="s">
        <v>976</v>
      </c>
      <c r="D268" t="s">
        <v>20</v>
      </c>
      <c r="E268" t="s">
        <v>80</v>
      </c>
      <c r="F268" t="s">
        <v>99</v>
      </c>
      <c r="G268" t="s">
        <v>977</v>
      </c>
      <c r="H268" t="s">
        <v>19</v>
      </c>
      <c r="I268" t="s">
        <v>295</v>
      </c>
      <c r="J268" t="s">
        <v>110</v>
      </c>
      <c r="K268" t="s">
        <v>111</v>
      </c>
      <c r="L268" t="s">
        <v>18</v>
      </c>
      <c r="M268" t="s">
        <v>42</v>
      </c>
      <c r="N268" t="s">
        <v>77</v>
      </c>
      <c r="O268">
        <v>5483</v>
      </c>
      <c r="P268">
        <v>400</v>
      </c>
      <c r="Q268" t="str">
        <f t="shared" si="8"/>
        <v>Pending</v>
      </c>
      <c r="R268">
        <f t="shared" si="9"/>
        <v>5083</v>
      </c>
    </row>
    <row r="269" spans="1:18">
      <c r="A269">
        <v>268</v>
      </c>
      <c r="B269" t="s">
        <v>978</v>
      </c>
      <c r="C269" t="s">
        <v>979</v>
      </c>
      <c r="D269" t="s">
        <v>40</v>
      </c>
      <c r="E269" t="s">
        <v>152</v>
      </c>
      <c r="F269" t="s">
        <v>118</v>
      </c>
      <c r="G269" t="s">
        <v>980</v>
      </c>
      <c r="H269" t="s">
        <v>27</v>
      </c>
      <c r="I269" t="s">
        <v>783</v>
      </c>
      <c r="J269" t="s">
        <v>95</v>
      </c>
      <c r="K269" t="s">
        <v>96</v>
      </c>
      <c r="L269" t="s">
        <v>21</v>
      </c>
      <c r="M269" t="s">
        <v>48</v>
      </c>
      <c r="N269" t="s">
        <v>84</v>
      </c>
      <c r="O269">
        <v>5411</v>
      </c>
      <c r="P269">
        <v>2843</v>
      </c>
      <c r="Q269" t="str">
        <f t="shared" si="8"/>
        <v>Pending</v>
      </c>
      <c r="R269">
        <f t="shared" si="9"/>
        <v>2568</v>
      </c>
    </row>
    <row r="270" spans="1:18">
      <c r="A270">
        <v>269</v>
      </c>
      <c r="B270" t="s">
        <v>981</v>
      </c>
      <c r="C270" t="s">
        <v>982</v>
      </c>
      <c r="D270" t="s">
        <v>33</v>
      </c>
      <c r="E270" t="s">
        <v>87</v>
      </c>
      <c r="F270" t="s">
        <v>118</v>
      </c>
      <c r="G270" t="s">
        <v>983</v>
      </c>
      <c r="H270" t="s">
        <v>22</v>
      </c>
      <c r="I270" t="s">
        <v>332</v>
      </c>
      <c r="J270" t="s">
        <v>95</v>
      </c>
      <c r="K270" t="s">
        <v>96</v>
      </c>
      <c r="L270" t="s">
        <v>21</v>
      </c>
      <c r="M270" t="s">
        <v>46</v>
      </c>
      <c r="N270" t="s">
        <v>71</v>
      </c>
      <c r="O270">
        <v>13373</v>
      </c>
      <c r="P270">
        <v>11691</v>
      </c>
      <c r="Q270" t="str">
        <f t="shared" si="8"/>
        <v>Pending</v>
      </c>
      <c r="R270">
        <f t="shared" si="9"/>
        <v>1682</v>
      </c>
    </row>
    <row r="271" spans="1:18">
      <c r="A271">
        <v>270</v>
      </c>
      <c r="B271" t="s">
        <v>984</v>
      </c>
      <c r="C271" t="s">
        <v>985</v>
      </c>
      <c r="D271" t="s">
        <v>31</v>
      </c>
      <c r="E271" t="s">
        <v>87</v>
      </c>
      <c r="F271" t="s">
        <v>74</v>
      </c>
      <c r="G271" t="s">
        <v>986</v>
      </c>
      <c r="H271" t="s">
        <v>22</v>
      </c>
      <c r="I271" t="s">
        <v>306</v>
      </c>
      <c r="J271" t="s">
        <v>95</v>
      </c>
      <c r="K271" t="s">
        <v>96</v>
      </c>
      <c r="L271" t="s">
        <v>21</v>
      </c>
      <c r="M271" t="s">
        <v>50</v>
      </c>
      <c r="N271" t="s">
        <v>84</v>
      </c>
      <c r="O271">
        <v>41190</v>
      </c>
      <c r="P271">
        <v>11670</v>
      </c>
      <c r="Q271" t="str">
        <f t="shared" si="8"/>
        <v>Pending</v>
      </c>
      <c r="R271">
        <f t="shared" si="9"/>
        <v>29520</v>
      </c>
    </row>
    <row r="272" spans="1:18">
      <c r="A272">
        <v>271</v>
      </c>
      <c r="B272" t="s">
        <v>987</v>
      </c>
      <c r="C272" t="s">
        <v>988</v>
      </c>
      <c r="D272" t="s">
        <v>30</v>
      </c>
      <c r="E272" t="s">
        <v>65</v>
      </c>
      <c r="F272" t="s">
        <v>66</v>
      </c>
      <c r="G272" t="s">
        <v>989</v>
      </c>
      <c r="H272" t="s">
        <v>22</v>
      </c>
      <c r="I272" t="s">
        <v>82</v>
      </c>
      <c r="J272" t="s">
        <v>95</v>
      </c>
      <c r="K272" t="s">
        <v>96</v>
      </c>
      <c r="L272" t="s">
        <v>21</v>
      </c>
      <c r="M272" t="s">
        <v>45</v>
      </c>
      <c r="N272" t="s">
        <v>84</v>
      </c>
      <c r="O272">
        <v>13611</v>
      </c>
      <c r="P272">
        <v>926</v>
      </c>
      <c r="Q272" t="str">
        <f t="shared" si="8"/>
        <v>Pending</v>
      </c>
      <c r="R272">
        <f t="shared" si="9"/>
        <v>12685</v>
      </c>
    </row>
    <row r="273" spans="1:18">
      <c r="A273">
        <v>272</v>
      </c>
      <c r="B273" t="s">
        <v>990</v>
      </c>
      <c r="C273" t="s">
        <v>991</v>
      </c>
      <c r="D273" t="s">
        <v>23</v>
      </c>
      <c r="E273" t="s">
        <v>80</v>
      </c>
      <c r="F273" t="s">
        <v>66</v>
      </c>
      <c r="G273" t="s">
        <v>992</v>
      </c>
      <c r="H273" t="s">
        <v>25</v>
      </c>
      <c r="I273" t="s">
        <v>101</v>
      </c>
      <c r="J273" t="s">
        <v>69</v>
      </c>
      <c r="K273" t="s">
        <v>70</v>
      </c>
      <c r="L273" t="s">
        <v>21</v>
      </c>
      <c r="M273" t="s">
        <v>46</v>
      </c>
      <c r="N273" t="s">
        <v>77</v>
      </c>
      <c r="O273">
        <v>6902</v>
      </c>
      <c r="P273">
        <v>2321</v>
      </c>
      <c r="Q273" t="str">
        <f t="shared" si="8"/>
        <v>Pending</v>
      </c>
      <c r="R273">
        <f t="shared" si="9"/>
        <v>4581</v>
      </c>
    </row>
    <row r="274" spans="1:18">
      <c r="A274">
        <v>273</v>
      </c>
      <c r="B274" t="s">
        <v>993</v>
      </c>
      <c r="C274" t="s">
        <v>994</v>
      </c>
      <c r="D274" t="s">
        <v>17</v>
      </c>
      <c r="E274" t="s">
        <v>80</v>
      </c>
      <c r="F274" t="s">
        <v>118</v>
      </c>
      <c r="G274" t="s">
        <v>995</v>
      </c>
      <c r="H274" t="s">
        <v>29</v>
      </c>
      <c r="I274" t="s">
        <v>124</v>
      </c>
      <c r="J274" t="s">
        <v>83</v>
      </c>
      <c r="K274" t="s">
        <v>83</v>
      </c>
      <c r="L274" t="s">
        <v>24</v>
      </c>
      <c r="M274" t="s">
        <v>50</v>
      </c>
      <c r="N274" t="s">
        <v>71</v>
      </c>
      <c r="O274">
        <v>35861</v>
      </c>
      <c r="P274">
        <v>280</v>
      </c>
      <c r="Q274" t="str">
        <f t="shared" si="8"/>
        <v>Pending</v>
      </c>
      <c r="R274">
        <f t="shared" si="9"/>
        <v>35581</v>
      </c>
    </row>
    <row r="275" spans="1:18">
      <c r="A275">
        <v>274</v>
      </c>
      <c r="B275" t="s">
        <v>996</v>
      </c>
      <c r="C275" t="s">
        <v>997</v>
      </c>
      <c r="D275" t="s">
        <v>40</v>
      </c>
      <c r="E275" t="s">
        <v>152</v>
      </c>
      <c r="F275" t="s">
        <v>88</v>
      </c>
      <c r="G275" t="s">
        <v>998</v>
      </c>
      <c r="H275" t="s">
        <v>29</v>
      </c>
      <c r="I275" t="s">
        <v>90</v>
      </c>
      <c r="J275" t="s">
        <v>110</v>
      </c>
      <c r="K275" t="s">
        <v>111</v>
      </c>
      <c r="L275" t="s">
        <v>18</v>
      </c>
      <c r="M275" t="s">
        <v>46</v>
      </c>
      <c r="N275" t="s">
        <v>77</v>
      </c>
      <c r="O275">
        <v>26522</v>
      </c>
      <c r="P275">
        <v>15226</v>
      </c>
      <c r="Q275" t="str">
        <f t="shared" si="8"/>
        <v>Pending</v>
      </c>
      <c r="R275">
        <f t="shared" si="9"/>
        <v>11296</v>
      </c>
    </row>
    <row r="276" spans="1:18">
      <c r="A276">
        <v>275</v>
      </c>
      <c r="B276" t="s">
        <v>999</v>
      </c>
      <c r="C276" t="s">
        <v>1000</v>
      </c>
      <c r="D276" t="s">
        <v>17</v>
      </c>
      <c r="E276" t="s">
        <v>80</v>
      </c>
      <c r="F276" t="s">
        <v>99</v>
      </c>
      <c r="G276" t="s">
        <v>1001</v>
      </c>
      <c r="H276" t="s">
        <v>19</v>
      </c>
      <c r="I276" t="s">
        <v>339</v>
      </c>
      <c r="J276" t="s">
        <v>83</v>
      </c>
      <c r="K276" t="s">
        <v>83</v>
      </c>
      <c r="L276" t="s">
        <v>24</v>
      </c>
      <c r="M276" t="s">
        <v>50</v>
      </c>
      <c r="N276" t="s">
        <v>77</v>
      </c>
      <c r="O276">
        <v>14574</v>
      </c>
      <c r="P276">
        <v>11915</v>
      </c>
      <c r="Q276" t="str">
        <f t="shared" si="8"/>
        <v>Pending</v>
      </c>
      <c r="R276">
        <f t="shared" si="9"/>
        <v>2659</v>
      </c>
    </row>
    <row r="277" spans="1:18">
      <c r="A277">
        <v>276</v>
      </c>
      <c r="B277" t="s">
        <v>1002</v>
      </c>
      <c r="C277" t="s">
        <v>1003</v>
      </c>
      <c r="D277" t="s">
        <v>28</v>
      </c>
      <c r="E277" t="s">
        <v>65</v>
      </c>
      <c r="F277" t="s">
        <v>74</v>
      </c>
      <c r="G277" t="s">
        <v>1004</v>
      </c>
      <c r="H277" t="s">
        <v>22</v>
      </c>
      <c r="I277" t="s">
        <v>796</v>
      </c>
      <c r="J277" t="s">
        <v>69</v>
      </c>
      <c r="K277" t="s">
        <v>70</v>
      </c>
      <c r="L277" t="s">
        <v>21</v>
      </c>
      <c r="M277" t="s">
        <v>50</v>
      </c>
      <c r="N277" t="s">
        <v>77</v>
      </c>
      <c r="O277">
        <v>20700</v>
      </c>
      <c r="P277">
        <v>17573</v>
      </c>
      <c r="Q277" t="str">
        <f t="shared" si="8"/>
        <v>Pending</v>
      </c>
      <c r="R277">
        <f t="shared" si="9"/>
        <v>3127</v>
      </c>
    </row>
    <row r="278" spans="1:18">
      <c r="A278">
        <v>277</v>
      </c>
      <c r="B278" t="s">
        <v>1005</v>
      </c>
      <c r="C278" t="s">
        <v>1006</v>
      </c>
      <c r="D278" t="s">
        <v>17</v>
      </c>
      <c r="E278" t="s">
        <v>80</v>
      </c>
      <c r="F278" t="s">
        <v>74</v>
      </c>
      <c r="G278" t="s">
        <v>1007</v>
      </c>
      <c r="H278" t="s">
        <v>29</v>
      </c>
      <c r="I278" t="s">
        <v>216</v>
      </c>
      <c r="J278" t="s">
        <v>95</v>
      </c>
      <c r="K278" t="s">
        <v>96</v>
      </c>
      <c r="L278" t="s">
        <v>21</v>
      </c>
      <c r="M278" t="s">
        <v>46</v>
      </c>
      <c r="N278" t="s">
        <v>71</v>
      </c>
      <c r="O278">
        <v>5113</v>
      </c>
      <c r="P278">
        <v>4668</v>
      </c>
      <c r="Q278" t="str">
        <f t="shared" si="8"/>
        <v>Pending</v>
      </c>
      <c r="R278">
        <f t="shared" si="9"/>
        <v>445</v>
      </c>
    </row>
    <row r="279" spans="1:18">
      <c r="A279">
        <v>278</v>
      </c>
      <c r="B279" t="s">
        <v>1008</v>
      </c>
      <c r="C279" t="s">
        <v>1009</v>
      </c>
      <c r="D279" t="s">
        <v>40</v>
      </c>
      <c r="E279" t="s">
        <v>152</v>
      </c>
      <c r="F279" t="s">
        <v>118</v>
      </c>
      <c r="G279" t="s">
        <v>1010</v>
      </c>
      <c r="H279" t="s">
        <v>25</v>
      </c>
      <c r="I279" t="s">
        <v>846</v>
      </c>
      <c r="J279" t="s">
        <v>69</v>
      </c>
      <c r="K279" t="s">
        <v>70</v>
      </c>
      <c r="L279" t="s">
        <v>21</v>
      </c>
      <c r="M279" t="s">
        <v>42</v>
      </c>
      <c r="N279" t="s">
        <v>71</v>
      </c>
      <c r="O279">
        <v>12605</v>
      </c>
      <c r="P279">
        <v>7616</v>
      </c>
      <c r="Q279" t="str">
        <f t="shared" si="8"/>
        <v>Pending</v>
      </c>
      <c r="R279">
        <f t="shared" si="9"/>
        <v>4989</v>
      </c>
    </row>
    <row r="280" spans="1:18">
      <c r="A280">
        <v>279</v>
      </c>
      <c r="B280" t="s">
        <v>1011</v>
      </c>
      <c r="C280" t="s">
        <v>1012</v>
      </c>
      <c r="D280" t="s">
        <v>40</v>
      </c>
      <c r="E280" t="s">
        <v>152</v>
      </c>
      <c r="F280" t="s">
        <v>99</v>
      </c>
      <c r="G280" t="s">
        <v>1013</v>
      </c>
      <c r="H280" t="s">
        <v>27</v>
      </c>
      <c r="I280" t="s">
        <v>1014</v>
      </c>
      <c r="J280" t="s">
        <v>69</v>
      </c>
      <c r="K280" t="s">
        <v>70</v>
      </c>
      <c r="L280" t="s">
        <v>21</v>
      </c>
      <c r="M280" t="s">
        <v>48</v>
      </c>
      <c r="N280" t="s">
        <v>77</v>
      </c>
      <c r="O280">
        <v>33470</v>
      </c>
      <c r="P280">
        <v>17535</v>
      </c>
      <c r="Q280" t="str">
        <f t="shared" si="8"/>
        <v>Pending</v>
      </c>
      <c r="R280">
        <f t="shared" si="9"/>
        <v>15935</v>
      </c>
    </row>
    <row r="281" spans="1:18">
      <c r="A281">
        <v>280</v>
      </c>
      <c r="B281" t="s">
        <v>1015</v>
      </c>
      <c r="C281" t="s">
        <v>1016</v>
      </c>
      <c r="D281" t="s">
        <v>43</v>
      </c>
      <c r="E281" t="s">
        <v>152</v>
      </c>
      <c r="F281" t="s">
        <v>74</v>
      </c>
      <c r="G281" t="s">
        <v>1017</v>
      </c>
      <c r="H281" t="s">
        <v>27</v>
      </c>
      <c r="I281" t="s">
        <v>162</v>
      </c>
      <c r="J281" t="s">
        <v>110</v>
      </c>
      <c r="K281" t="s">
        <v>111</v>
      </c>
      <c r="L281" t="s">
        <v>18</v>
      </c>
      <c r="M281" t="s">
        <v>46</v>
      </c>
      <c r="N281" t="s">
        <v>77</v>
      </c>
      <c r="O281">
        <v>30063</v>
      </c>
      <c r="P281">
        <v>7929</v>
      </c>
      <c r="Q281" t="str">
        <f t="shared" si="8"/>
        <v>Pending</v>
      </c>
      <c r="R281">
        <f t="shared" si="9"/>
        <v>22134</v>
      </c>
    </row>
    <row r="282" spans="1:18">
      <c r="A282">
        <v>281</v>
      </c>
      <c r="B282" t="s">
        <v>1018</v>
      </c>
      <c r="C282" t="s">
        <v>1019</v>
      </c>
      <c r="D282" t="s">
        <v>36</v>
      </c>
      <c r="E282" t="s">
        <v>152</v>
      </c>
      <c r="F282" t="s">
        <v>66</v>
      </c>
      <c r="G282" t="s">
        <v>1020</v>
      </c>
      <c r="H282" t="s">
        <v>22</v>
      </c>
      <c r="I282" t="s">
        <v>388</v>
      </c>
      <c r="J282" t="s">
        <v>110</v>
      </c>
      <c r="K282" t="s">
        <v>111</v>
      </c>
      <c r="L282" t="s">
        <v>18</v>
      </c>
      <c r="M282" t="s">
        <v>42</v>
      </c>
      <c r="N282" t="s">
        <v>77</v>
      </c>
      <c r="O282">
        <v>31988</v>
      </c>
      <c r="P282">
        <v>10504</v>
      </c>
      <c r="Q282" t="str">
        <f t="shared" si="8"/>
        <v>Pending</v>
      </c>
      <c r="R282">
        <f t="shared" si="9"/>
        <v>21484</v>
      </c>
    </row>
    <row r="283" spans="1:18">
      <c r="A283">
        <v>282</v>
      </c>
      <c r="B283" t="s">
        <v>1021</v>
      </c>
      <c r="C283" t="s">
        <v>1022</v>
      </c>
      <c r="D283" t="s">
        <v>40</v>
      </c>
      <c r="E283" t="s">
        <v>152</v>
      </c>
      <c r="F283" t="s">
        <v>99</v>
      </c>
      <c r="G283" t="s">
        <v>1023</v>
      </c>
      <c r="H283" t="s">
        <v>29</v>
      </c>
      <c r="I283" t="s">
        <v>548</v>
      </c>
      <c r="J283" t="s">
        <v>110</v>
      </c>
      <c r="K283" t="s">
        <v>111</v>
      </c>
      <c r="L283" t="s">
        <v>18</v>
      </c>
      <c r="M283" t="s">
        <v>46</v>
      </c>
      <c r="N283" t="s">
        <v>84</v>
      </c>
      <c r="O283">
        <v>36600</v>
      </c>
      <c r="P283">
        <v>29077</v>
      </c>
      <c r="Q283" t="str">
        <f t="shared" si="8"/>
        <v>Pending</v>
      </c>
      <c r="R283">
        <f t="shared" si="9"/>
        <v>7523</v>
      </c>
    </row>
    <row r="284" spans="1:18">
      <c r="A284">
        <v>283</v>
      </c>
      <c r="B284" t="s">
        <v>1024</v>
      </c>
      <c r="C284" t="s">
        <v>1025</v>
      </c>
      <c r="D284" t="s">
        <v>32</v>
      </c>
      <c r="E284" t="s">
        <v>87</v>
      </c>
      <c r="F284" t="s">
        <v>99</v>
      </c>
      <c r="G284" t="s">
        <v>1026</v>
      </c>
      <c r="H284" t="s">
        <v>25</v>
      </c>
      <c r="I284" t="s">
        <v>295</v>
      </c>
      <c r="J284" t="s">
        <v>69</v>
      </c>
      <c r="K284" t="s">
        <v>70</v>
      </c>
      <c r="L284" t="s">
        <v>21</v>
      </c>
      <c r="M284" t="s">
        <v>45</v>
      </c>
      <c r="N284" t="s">
        <v>84</v>
      </c>
      <c r="O284">
        <v>23380</v>
      </c>
      <c r="P284">
        <v>2940</v>
      </c>
      <c r="Q284" t="str">
        <f t="shared" si="8"/>
        <v>Pending</v>
      </c>
      <c r="R284">
        <f t="shared" si="9"/>
        <v>20440</v>
      </c>
    </row>
    <row r="285" spans="1:18">
      <c r="A285">
        <v>284</v>
      </c>
      <c r="B285" t="s">
        <v>1027</v>
      </c>
      <c r="C285" t="s">
        <v>1028</v>
      </c>
      <c r="D285" t="s">
        <v>28</v>
      </c>
      <c r="E285" t="s">
        <v>65</v>
      </c>
      <c r="F285" t="s">
        <v>74</v>
      </c>
      <c r="G285" t="s">
        <v>1029</v>
      </c>
      <c r="H285" t="s">
        <v>25</v>
      </c>
      <c r="I285" t="s">
        <v>595</v>
      </c>
      <c r="J285" t="s">
        <v>69</v>
      </c>
      <c r="K285" t="s">
        <v>70</v>
      </c>
      <c r="L285" t="s">
        <v>21</v>
      </c>
      <c r="M285" t="s">
        <v>45</v>
      </c>
      <c r="N285" t="s">
        <v>71</v>
      </c>
      <c r="O285">
        <v>16836</v>
      </c>
      <c r="P285">
        <v>5009</v>
      </c>
      <c r="Q285" t="str">
        <f t="shared" si="8"/>
        <v>Pending</v>
      </c>
      <c r="R285">
        <f t="shared" si="9"/>
        <v>11827</v>
      </c>
    </row>
    <row r="286" spans="1:18">
      <c r="A286">
        <v>285</v>
      </c>
      <c r="B286" t="s">
        <v>1030</v>
      </c>
      <c r="C286" t="s">
        <v>1031</v>
      </c>
      <c r="D286" t="s">
        <v>30</v>
      </c>
      <c r="E286" t="s">
        <v>65</v>
      </c>
      <c r="F286" t="s">
        <v>66</v>
      </c>
      <c r="G286" t="s">
        <v>1032</v>
      </c>
      <c r="H286" t="s">
        <v>27</v>
      </c>
      <c r="I286" t="s">
        <v>971</v>
      </c>
      <c r="J286" t="s">
        <v>95</v>
      </c>
      <c r="K286" t="s">
        <v>96</v>
      </c>
      <c r="L286" t="s">
        <v>21</v>
      </c>
      <c r="M286" t="s">
        <v>42</v>
      </c>
      <c r="N286" t="s">
        <v>84</v>
      </c>
      <c r="O286">
        <v>43971</v>
      </c>
      <c r="P286">
        <v>8072</v>
      </c>
      <c r="Q286" t="str">
        <f t="shared" si="8"/>
        <v>Pending</v>
      </c>
      <c r="R286">
        <f t="shared" si="9"/>
        <v>35899</v>
      </c>
    </row>
    <row r="287" spans="1:18">
      <c r="A287">
        <v>286</v>
      </c>
      <c r="B287" t="s">
        <v>1033</v>
      </c>
      <c r="C287" t="s">
        <v>1034</v>
      </c>
      <c r="D287" t="s">
        <v>31</v>
      </c>
      <c r="E287" t="s">
        <v>87</v>
      </c>
      <c r="F287" t="s">
        <v>74</v>
      </c>
      <c r="G287" t="s">
        <v>1035</v>
      </c>
      <c r="H287" t="s">
        <v>19</v>
      </c>
      <c r="I287" t="s">
        <v>912</v>
      </c>
      <c r="J287" t="s">
        <v>125</v>
      </c>
      <c r="K287" t="s">
        <v>111</v>
      </c>
      <c r="L287" t="s">
        <v>18</v>
      </c>
      <c r="M287" t="s">
        <v>48</v>
      </c>
      <c r="N287" t="s">
        <v>77</v>
      </c>
      <c r="O287">
        <v>36721</v>
      </c>
      <c r="P287">
        <v>35358</v>
      </c>
      <c r="Q287" t="str">
        <f t="shared" si="8"/>
        <v>Pending</v>
      </c>
      <c r="R287">
        <f t="shared" si="9"/>
        <v>1363</v>
      </c>
    </row>
    <row r="288" spans="1:18">
      <c r="A288">
        <v>287</v>
      </c>
      <c r="B288" t="s">
        <v>1036</v>
      </c>
      <c r="C288" t="s">
        <v>1037</v>
      </c>
      <c r="D288" t="s">
        <v>30</v>
      </c>
      <c r="E288" t="s">
        <v>65</v>
      </c>
      <c r="F288" t="s">
        <v>74</v>
      </c>
      <c r="G288" t="s">
        <v>1038</v>
      </c>
      <c r="H288" t="s">
        <v>27</v>
      </c>
      <c r="I288" t="s">
        <v>174</v>
      </c>
      <c r="J288" t="s">
        <v>95</v>
      </c>
      <c r="K288" t="s">
        <v>96</v>
      </c>
      <c r="L288" t="s">
        <v>21</v>
      </c>
      <c r="M288" t="s">
        <v>48</v>
      </c>
      <c r="N288" t="s">
        <v>84</v>
      </c>
      <c r="O288">
        <v>27452</v>
      </c>
      <c r="P288">
        <v>27380</v>
      </c>
      <c r="Q288" t="str">
        <f t="shared" si="8"/>
        <v>Pending</v>
      </c>
      <c r="R288">
        <f t="shared" si="9"/>
        <v>72</v>
      </c>
    </row>
    <row r="289" spans="1:18">
      <c r="A289">
        <v>288</v>
      </c>
      <c r="B289" t="s">
        <v>1039</v>
      </c>
      <c r="C289" t="s">
        <v>1040</v>
      </c>
      <c r="D289" t="s">
        <v>31</v>
      </c>
      <c r="E289" t="s">
        <v>87</v>
      </c>
      <c r="F289" t="s">
        <v>88</v>
      </c>
      <c r="G289" t="s">
        <v>1041</v>
      </c>
      <c r="H289" t="s">
        <v>22</v>
      </c>
      <c r="I289" t="s">
        <v>403</v>
      </c>
      <c r="J289" t="s">
        <v>125</v>
      </c>
      <c r="K289" t="s">
        <v>111</v>
      </c>
      <c r="L289" t="s">
        <v>18</v>
      </c>
      <c r="M289" t="s">
        <v>45</v>
      </c>
      <c r="N289" t="s">
        <v>71</v>
      </c>
      <c r="O289">
        <v>44682</v>
      </c>
      <c r="P289">
        <v>10140</v>
      </c>
      <c r="Q289" t="str">
        <f t="shared" si="8"/>
        <v>Pending</v>
      </c>
      <c r="R289">
        <f t="shared" si="9"/>
        <v>34542</v>
      </c>
    </row>
    <row r="290" spans="1:18">
      <c r="A290">
        <v>289</v>
      </c>
      <c r="B290" t="s">
        <v>1042</v>
      </c>
      <c r="C290" t="s">
        <v>1043</v>
      </c>
      <c r="D290" t="s">
        <v>30</v>
      </c>
      <c r="E290" t="s">
        <v>65</v>
      </c>
      <c r="F290" t="s">
        <v>88</v>
      </c>
      <c r="G290" t="s">
        <v>1044</v>
      </c>
      <c r="H290" t="s">
        <v>25</v>
      </c>
      <c r="I290" t="s">
        <v>101</v>
      </c>
      <c r="J290" t="s">
        <v>69</v>
      </c>
      <c r="K290" t="s">
        <v>70</v>
      </c>
      <c r="L290" t="s">
        <v>21</v>
      </c>
      <c r="M290" t="s">
        <v>48</v>
      </c>
      <c r="N290" t="s">
        <v>84</v>
      </c>
      <c r="O290">
        <v>9016</v>
      </c>
      <c r="P290">
        <v>3730</v>
      </c>
      <c r="Q290" t="str">
        <f t="shared" si="8"/>
        <v>Pending</v>
      </c>
      <c r="R290">
        <f t="shared" si="9"/>
        <v>5286</v>
      </c>
    </row>
    <row r="291" spans="1:18">
      <c r="A291">
        <v>290</v>
      </c>
      <c r="B291" t="s">
        <v>1045</v>
      </c>
      <c r="C291" t="s">
        <v>1046</v>
      </c>
      <c r="D291" t="s">
        <v>40</v>
      </c>
      <c r="E291" t="s">
        <v>152</v>
      </c>
      <c r="F291" t="s">
        <v>118</v>
      </c>
      <c r="G291" t="s">
        <v>1047</v>
      </c>
      <c r="H291" t="s">
        <v>29</v>
      </c>
      <c r="I291" t="s">
        <v>145</v>
      </c>
      <c r="J291" t="s">
        <v>110</v>
      </c>
      <c r="K291" t="s">
        <v>111</v>
      </c>
      <c r="L291" t="s">
        <v>18</v>
      </c>
      <c r="M291" t="s">
        <v>50</v>
      </c>
      <c r="N291" t="s">
        <v>71</v>
      </c>
      <c r="O291">
        <v>22155</v>
      </c>
      <c r="P291">
        <v>18406</v>
      </c>
      <c r="Q291" t="str">
        <f t="shared" si="8"/>
        <v>Pending</v>
      </c>
      <c r="R291">
        <f t="shared" si="9"/>
        <v>3749</v>
      </c>
    </row>
    <row r="292" spans="1:18">
      <c r="A292">
        <v>291</v>
      </c>
      <c r="B292" t="s">
        <v>1048</v>
      </c>
      <c r="C292" t="s">
        <v>1049</v>
      </c>
      <c r="D292" t="s">
        <v>30</v>
      </c>
      <c r="E292" t="s">
        <v>65</v>
      </c>
      <c r="F292" t="s">
        <v>99</v>
      </c>
      <c r="G292" t="s">
        <v>1050</v>
      </c>
      <c r="H292" t="s">
        <v>19</v>
      </c>
      <c r="I292" t="s">
        <v>253</v>
      </c>
      <c r="J292" t="s">
        <v>83</v>
      </c>
      <c r="K292" t="s">
        <v>83</v>
      </c>
      <c r="L292" t="s">
        <v>24</v>
      </c>
      <c r="M292" t="s">
        <v>50</v>
      </c>
      <c r="N292" t="s">
        <v>77</v>
      </c>
      <c r="O292">
        <v>11339</v>
      </c>
      <c r="P292">
        <v>5867</v>
      </c>
      <c r="Q292" t="str">
        <f t="shared" si="8"/>
        <v>Pending</v>
      </c>
      <c r="R292">
        <f t="shared" si="9"/>
        <v>5472</v>
      </c>
    </row>
    <row r="293" spans="1:18">
      <c r="A293">
        <v>292</v>
      </c>
      <c r="B293" t="s">
        <v>1051</v>
      </c>
      <c r="C293" t="s">
        <v>1052</v>
      </c>
      <c r="D293" t="s">
        <v>26</v>
      </c>
      <c r="E293" t="s">
        <v>65</v>
      </c>
      <c r="F293" t="s">
        <v>66</v>
      </c>
      <c r="G293" t="s">
        <v>1053</v>
      </c>
      <c r="H293" t="s">
        <v>19</v>
      </c>
      <c r="I293" t="s">
        <v>796</v>
      </c>
      <c r="J293" t="s">
        <v>83</v>
      </c>
      <c r="K293" t="s">
        <v>83</v>
      </c>
      <c r="L293" t="s">
        <v>24</v>
      </c>
      <c r="M293" t="s">
        <v>45</v>
      </c>
      <c r="N293" t="s">
        <v>84</v>
      </c>
      <c r="O293">
        <v>30882</v>
      </c>
      <c r="P293">
        <v>26957</v>
      </c>
      <c r="Q293" t="str">
        <f t="shared" si="8"/>
        <v>Pending</v>
      </c>
      <c r="R293">
        <f t="shared" si="9"/>
        <v>3925</v>
      </c>
    </row>
    <row r="294" spans="1:18">
      <c r="A294">
        <v>293</v>
      </c>
      <c r="B294" t="s">
        <v>1054</v>
      </c>
      <c r="C294" t="s">
        <v>1055</v>
      </c>
      <c r="D294" t="s">
        <v>36</v>
      </c>
      <c r="E294" t="s">
        <v>152</v>
      </c>
      <c r="F294" t="s">
        <v>66</v>
      </c>
      <c r="G294" t="s">
        <v>1056</v>
      </c>
      <c r="H294" t="s">
        <v>22</v>
      </c>
      <c r="I294" t="s">
        <v>585</v>
      </c>
      <c r="J294" t="s">
        <v>125</v>
      </c>
      <c r="K294" t="s">
        <v>111</v>
      </c>
      <c r="L294" t="s">
        <v>18</v>
      </c>
      <c r="M294" t="s">
        <v>48</v>
      </c>
      <c r="N294" t="s">
        <v>84</v>
      </c>
      <c r="O294">
        <v>33788</v>
      </c>
      <c r="P294">
        <v>16042</v>
      </c>
      <c r="Q294" t="str">
        <f t="shared" si="8"/>
        <v>Pending</v>
      </c>
      <c r="R294">
        <f t="shared" si="9"/>
        <v>17746</v>
      </c>
    </row>
    <row r="295" spans="1:18">
      <c r="A295">
        <v>294</v>
      </c>
      <c r="B295" t="s">
        <v>1057</v>
      </c>
      <c r="C295" t="s">
        <v>1058</v>
      </c>
      <c r="D295" t="s">
        <v>23</v>
      </c>
      <c r="E295" t="s">
        <v>80</v>
      </c>
      <c r="F295" t="s">
        <v>66</v>
      </c>
      <c r="G295" t="s">
        <v>1059</v>
      </c>
      <c r="H295" t="s">
        <v>19</v>
      </c>
      <c r="I295" t="s">
        <v>396</v>
      </c>
      <c r="J295" t="s">
        <v>125</v>
      </c>
      <c r="K295" t="s">
        <v>111</v>
      </c>
      <c r="L295" t="s">
        <v>18</v>
      </c>
      <c r="M295" t="s">
        <v>46</v>
      </c>
      <c r="N295" t="s">
        <v>71</v>
      </c>
      <c r="O295">
        <v>47143</v>
      </c>
      <c r="P295">
        <v>24314</v>
      </c>
      <c r="Q295" t="str">
        <f t="shared" si="8"/>
        <v>Pending</v>
      </c>
      <c r="R295">
        <f t="shared" si="9"/>
        <v>22829</v>
      </c>
    </row>
    <row r="296" spans="1:18">
      <c r="A296">
        <v>295</v>
      </c>
      <c r="B296" t="s">
        <v>1060</v>
      </c>
      <c r="C296" t="s">
        <v>1061</v>
      </c>
      <c r="D296" t="s">
        <v>33</v>
      </c>
      <c r="E296" t="s">
        <v>87</v>
      </c>
      <c r="F296" t="s">
        <v>99</v>
      </c>
      <c r="G296" t="s">
        <v>1062</v>
      </c>
      <c r="H296" t="s">
        <v>19</v>
      </c>
      <c r="I296" t="s">
        <v>846</v>
      </c>
      <c r="J296" t="s">
        <v>83</v>
      </c>
      <c r="K296" t="s">
        <v>83</v>
      </c>
      <c r="L296" t="s">
        <v>24</v>
      </c>
      <c r="M296" t="s">
        <v>46</v>
      </c>
      <c r="N296" t="s">
        <v>71</v>
      </c>
      <c r="O296">
        <v>41569</v>
      </c>
      <c r="P296">
        <v>13395</v>
      </c>
      <c r="Q296" t="str">
        <f t="shared" si="8"/>
        <v>Pending</v>
      </c>
      <c r="R296">
        <f t="shared" si="9"/>
        <v>28174</v>
      </c>
    </row>
    <row r="297" spans="1:18">
      <c r="A297">
        <v>296</v>
      </c>
      <c r="B297" t="s">
        <v>1063</v>
      </c>
      <c r="C297" t="s">
        <v>1064</v>
      </c>
      <c r="D297" t="s">
        <v>23</v>
      </c>
      <c r="E297" t="s">
        <v>80</v>
      </c>
      <c r="F297" t="s">
        <v>99</v>
      </c>
      <c r="G297" t="s">
        <v>1065</v>
      </c>
      <c r="H297" t="s">
        <v>22</v>
      </c>
      <c r="I297" t="s">
        <v>204</v>
      </c>
      <c r="J297" t="s">
        <v>110</v>
      </c>
      <c r="K297" t="s">
        <v>111</v>
      </c>
      <c r="L297" t="s">
        <v>18</v>
      </c>
      <c r="M297" t="s">
        <v>48</v>
      </c>
      <c r="N297" t="s">
        <v>71</v>
      </c>
      <c r="O297">
        <v>15896</v>
      </c>
      <c r="P297">
        <v>14122</v>
      </c>
      <c r="Q297" t="str">
        <f t="shared" si="8"/>
        <v>Pending</v>
      </c>
      <c r="R297">
        <f t="shared" si="9"/>
        <v>1774</v>
      </c>
    </row>
    <row r="298" spans="1:18">
      <c r="A298">
        <v>297</v>
      </c>
      <c r="B298" t="s">
        <v>1066</v>
      </c>
      <c r="C298" t="s">
        <v>1067</v>
      </c>
      <c r="D298" t="s">
        <v>43</v>
      </c>
      <c r="E298" t="s">
        <v>152</v>
      </c>
      <c r="F298" t="s">
        <v>66</v>
      </c>
      <c r="G298" t="s">
        <v>1068</v>
      </c>
      <c r="H298" t="s">
        <v>29</v>
      </c>
      <c r="I298" t="s">
        <v>531</v>
      </c>
      <c r="J298" t="s">
        <v>110</v>
      </c>
      <c r="K298" t="s">
        <v>111</v>
      </c>
      <c r="L298" t="s">
        <v>18</v>
      </c>
      <c r="M298" t="s">
        <v>50</v>
      </c>
      <c r="N298" t="s">
        <v>77</v>
      </c>
      <c r="O298">
        <v>6987</v>
      </c>
      <c r="P298">
        <v>1310</v>
      </c>
      <c r="Q298" t="str">
        <f t="shared" si="8"/>
        <v>Pending</v>
      </c>
      <c r="R298">
        <f t="shared" si="9"/>
        <v>5677</v>
      </c>
    </row>
    <row r="299" spans="1:18">
      <c r="A299">
        <v>298</v>
      </c>
      <c r="B299" t="s">
        <v>1069</v>
      </c>
      <c r="C299" t="s">
        <v>1070</v>
      </c>
      <c r="D299" t="s">
        <v>36</v>
      </c>
      <c r="E299" t="s">
        <v>152</v>
      </c>
      <c r="F299" t="s">
        <v>99</v>
      </c>
      <c r="G299" t="s">
        <v>1071</v>
      </c>
      <c r="H299" t="s">
        <v>19</v>
      </c>
      <c r="I299" t="s">
        <v>267</v>
      </c>
      <c r="J299" t="s">
        <v>95</v>
      </c>
      <c r="K299" t="s">
        <v>96</v>
      </c>
      <c r="L299" t="s">
        <v>21</v>
      </c>
      <c r="M299" t="s">
        <v>46</v>
      </c>
      <c r="N299" t="s">
        <v>77</v>
      </c>
      <c r="O299">
        <v>28807</v>
      </c>
      <c r="P299">
        <v>18709</v>
      </c>
      <c r="Q299" t="str">
        <f t="shared" si="8"/>
        <v>Pending</v>
      </c>
      <c r="R299">
        <f t="shared" si="9"/>
        <v>10098</v>
      </c>
    </row>
    <row r="300" spans="1:18">
      <c r="A300">
        <v>299</v>
      </c>
      <c r="B300" t="s">
        <v>1072</v>
      </c>
      <c r="C300" t="s">
        <v>1073</v>
      </c>
      <c r="D300" t="s">
        <v>32</v>
      </c>
      <c r="E300" t="s">
        <v>87</v>
      </c>
      <c r="F300" t="s">
        <v>118</v>
      </c>
      <c r="G300" t="s">
        <v>1074</v>
      </c>
      <c r="H300" t="s">
        <v>25</v>
      </c>
      <c r="I300" t="s">
        <v>94</v>
      </c>
      <c r="J300" t="s">
        <v>95</v>
      </c>
      <c r="K300" t="s">
        <v>96</v>
      </c>
      <c r="L300" t="s">
        <v>21</v>
      </c>
      <c r="M300" t="s">
        <v>45</v>
      </c>
      <c r="N300" t="s">
        <v>84</v>
      </c>
      <c r="O300">
        <v>17509</v>
      </c>
      <c r="P300">
        <v>10315</v>
      </c>
      <c r="Q300" t="str">
        <f t="shared" si="8"/>
        <v>Pending</v>
      </c>
      <c r="R300">
        <f t="shared" si="9"/>
        <v>7194</v>
      </c>
    </row>
    <row r="301" spans="1:18">
      <c r="A301">
        <v>300</v>
      </c>
      <c r="B301" t="s">
        <v>1075</v>
      </c>
      <c r="C301" t="s">
        <v>1076</v>
      </c>
      <c r="D301" t="s">
        <v>36</v>
      </c>
      <c r="E301" t="s">
        <v>152</v>
      </c>
      <c r="F301" t="s">
        <v>66</v>
      </c>
      <c r="G301" t="s">
        <v>1077</v>
      </c>
      <c r="H301" t="s">
        <v>27</v>
      </c>
      <c r="I301" t="s">
        <v>101</v>
      </c>
      <c r="J301" t="s">
        <v>125</v>
      </c>
      <c r="K301" t="s">
        <v>111</v>
      </c>
      <c r="L301" t="s">
        <v>18</v>
      </c>
      <c r="M301" t="s">
        <v>46</v>
      </c>
      <c r="N301" t="s">
        <v>71</v>
      </c>
      <c r="O301">
        <v>32006</v>
      </c>
      <c r="P301">
        <v>9031</v>
      </c>
      <c r="Q301" t="str">
        <f t="shared" si="8"/>
        <v>Pending</v>
      </c>
      <c r="R301">
        <f t="shared" si="9"/>
        <v>22975</v>
      </c>
    </row>
    <row r="302" spans="1:18">
      <c r="A302">
        <v>301</v>
      </c>
      <c r="B302" t="s">
        <v>1078</v>
      </c>
      <c r="C302" t="s">
        <v>1079</v>
      </c>
      <c r="D302" t="s">
        <v>43</v>
      </c>
      <c r="E302" t="s">
        <v>152</v>
      </c>
      <c r="F302" t="s">
        <v>74</v>
      </c>
      <c r="G302" t="s">
        <v>1080</v>
      </c>
      <c r="H302" t="s">
        <v>29</v>
      </c>
      <c r="I302" t="s">
        <v>716</v>
      </c>
      <c r="J302" t="s">
        <v>69</v>
      </c>
      <c r="K302" t="s">
        <v>70</v>
      </c>
      <c r="L302" t="s">
        <v>21</v>
      </c>
      <c r="M302" t="s">
        <v>48</v>
      </c>
      <c r="N302" t="s">
        <v>84</v>
      </c>
      <c r="O302">
        <v>35952</v>
      </c>
      <c r="P302">
        <v>26934</v>
      </c>
      <c r="Q302" t="str">
        <f t="shared" si="8"/>
        <v>Pending</v>
      </c>
      <c r="R302">
        <f t="shared" si="9"/>
        <v>9018</v>
      </c>
    </row>
    <row r="303" spans="1:18">
      <c r="A303">
        <v>302</v>
      </c>
      <c r="B303" t="s">
        <v>1081</v>
      </c>
      <c r="C303" t="s">
        <v>1082</v>
      </c>
      <c r="D303" t="s">
        <v>30</v>
      </c>
      <c r="E303" t="s">
        <v>65</v>
      </c>
      <c r="F303" t="s">
        <v>118</v>
      </c>
      <c r="G303" t="s">
        <v>1083</v>
      </c>
      <c r="H303" t="s">
        <v>22</v>
      </c>
      <c r="I303" t="s">
        <v>474</v>
      </c>
      <c r="J303" t="s">
        <v>125</v>
      </c>
      <c r="K303" t="s">
        <v>111</v>
      </c>
      <c r="L303" t="s">
        <v>18</v>
      </c>
      <c r="M303" t="s">
        <v>42</v>
      </c>
      <c r="N303" t="s">
        <v>71</v>
      </c>
      <c r="O303">
        <v>11275</v>
      </c>
      <c r="P303">
        <v>8534</v>
      </c>
      <c r="Q303" t="str">
        <f t="shared" si="8"/>
        <v>Pending</v>
      </c>
      <c r="R303">
        <f t="shared" si="9"/>
        <v>2741</v>
      </c>
    </row>
    <row r="304" spans="1:18">
      <c r="A304">
        <v>303</v>
      </c>
      <c r="B304" t="s">
        <v>1084</v>
      </c>
      <c r="C304" t="s">
        <v>1085</v>
      </c>
      <c r="D304" t="s">
        <v>28</v>
      </c>
      <c r="E304" t="s">
        <v>65</v>
      </c>
      <c r="F304" t="s">
        <v>118</v>
      </c>
      <c r="G304" t="s">
        <v>1086</v>
      </c>
      <c r="H304" t="s">
        <v>22</v>
      </c>
      <c r="I304" t="s">
        <v>1014</v>
      </c>
      <c r="J304" t="s">
        <v>83</v>
      </c>
      <c r="K304" t="s">
        <v>83</v>
      </c>
      <c r="L304" t="s">
        <v>24</v>
      </c>
      <c r="M304" t="s">
        <v>45</v>
      </c>
      <c r="N304" t="s">
        <v>71</v>
      </c>
      <c r="O304">
        <v>5689</v>
      </c>
      <c r="P304">
        <v>1465</v>
      </c>
      <c r="Q304" t="str">
        <f t="shared" si="8"/>
        <v>Pending</v>
      </c>
      <c r="R304">
        <f t="shared" si="9"/>
        <v>4224</v>
      </c>
    </row>
    <row r="305" spans="1:18">
      <c r="A305">
        <v>304</v>
      </c>
      <c r="B305" t="s">
        <v>1087</v>
      </c>
      <c r="C305" t="s">
        <v>1088</v>
      </c>
      <c r="D305" t="s">
        <v>30</v>
      </c>
      <c r="E305" t="s">
        <v>65</v>
      </c>
      <c r="F305" t="s">
        <v>74</v>
      </c>
      <c r="G305" t="s">
        <v>1089</v>
      </c>
      <c r="H305" t="s">
        <v>25</v>
      </c>
      <c r="I305" t="s">
        <v>101</v>
      </c>
      <c r="J305" t="s">
        <v>110</v>
      </c>
      <c r="K305" t="s">
        <v>111</v>
      </c>
      <c r="L305" t="s">
        <v>18</v>
      </c>
      <c r="M305" t="s">
        <v>50</v>
      </c>
      <c r="N305" t="s">
        <v>84</v>
      </c>
      <c r="O305">
        <v>11237</v>
      </c>
      <c r="P305">
        <v>4937</v>
      </c>
      <c r="Q305" t="str">
        <f t="shared" si="8"/>
        <v>Pending</v>
      </c>
      <c r="R305">
        <f t="shared" si="9"/>
        <v>6300</v>
      </c>
    </row>
    <row r="306" spans="1:18">
      <c r="A306">
        <v>305</v>
      </c>
      <c r="B306" t="s">
        <v>1090</v>
      </c>
      <c r="C306" t="s">
        <v>1091</v>
      </c>
      <c r="D306" t="s">
        <v>40</v>
      </c>
      <c r="E306" t="s">
        <v>152</v>
      </c>
      <c r="F306" t="s">
        <v>74</v>
      </c>
      <c r="G306" t="s">
        <v>1092</v>
      </c>
      <c r="H306" t="s">
        <v>19</v>
      </c>
      <c r="I306" t="s">
        <v>105</v>
      </c>
      <c r="J306" t="s">
        <v>110</v>
      </c>
      <c r="K306" t="s">
        <v>111</v>
      </c>
      <c r="L306" t="s">
        <v>18</v>
      </c>
      <c r="M306" t="s">
        <v>42</v>
      </c>
      <c r="N306" t="s">
        <v>71</v>
      </c>
      <c r="O306">
        <v>42463</v>
      </c>
      <c r="P306">
        <v>39828</v>
      </c>
      <c r="Q306" t="str">
        <f t="shared" si="8"/>
        <v>Pending</v>
      </c>
      <c r="R306">
        <f t="shared" si="9"/>
        <v>2635</v>
      </c>
    </row>
    <row r="307" spans="1:18">
      <c r="A307">
        <v>306</v>
      </c>
      <c r="B307" t="s">
        <v>1093</v>
      </c>
      <c r="C307" t="s">
        <v>1094</v>
      </c>
      <c r="D307" t="s">
        <v>28</v>
      </c>
      <c r="E307" t="s">
        <v>65</v>
      </c>
      <c r="F307" t="s">
        <v>74</v>
      </c>
      <c r="G307" t="s">
        <v>1095</v>
      </c>
      <c r="H307" t="s">
        <v>19</v>
      </c>
      <c r="I307" t="s">
        <v>971</v>
      </c>
      <c r="J307" t="s">
        <v>69</v>
      </c>
      <c r="K307" t="s">
        <v>70</v>
      </c>
      <c r="L307" t="s">
        <v>21</v>
      </c>
      <c r="M307" t="s">
        <v>46</v>
      </c>
      <c r="N307" t="s">
        <v>77</v>
      </c>
      <c r="O307">
        <v>34144</v>
      </c>
      <c r="P307">
        <v>25867</v>
      </c>
      <c r="Q307" t="str">
        <f t="shared" si="8"/>
        <v>Pending</v>
      </c>
      <c r="R307">
        <f t="shared" si="9"/>
        <v>8277</v>
      </c>
    </row>
    <row r="308" spans="1:18">
      <c r="A308">
        <v>307</v>
      </c>
      <c r="B308" t="s">
        <v>1096</v>
      </c>
      <c r="C308" t="s">
        <v>1097</v>
      </c>
      <c r="D308" t="s">
        <v>17</v>
      </c>
      <c r="E308" t="s">
        <v>80</v>
      </c>
      <c r="F308" t="s">
        <v>99</v>
      </c>
      <c r="G308" t="s">
        <v>1098</v>
      </c>
      <c r="H308" t="s">
        <v>19</v>
      </c>
      <c r="I308" t="s">
        <v>660</v>
      </c>
      <c r="J308" t="s">
        <v>110</v>
      </c>
      <c r="K308" t="s">
        <v>111</v>
      </c>
      <c r="L308" t="s">
        <v>18</v>
      </c>
      <c r="M308" t="s">
        <v>42</v>
      </c>
      <c r="N308" t="s">
        <v>84</v>
      </c>
      <c r="O308">
        <v>43918</v>
      </c>
      <c r="P308">
        <v>40840</v>
      </c>
      <c r="Q308" t="str">
        <f t="shared" si="8"/>
        <v>Pending</v>
      </c>
      <c r="R308">
        <f t="shared" si="9"/>
        <v>3078</v>
      </c>
    </row>
    <row r="309" spans="1:18">
      <c r="A309">
        <v>308</v>
      </c>
      <c r="B309" t="s">
        <v>1099</v>
      </c>
      <c r="C309" t="s">
        <v>1100</v>
      </c>
      <c r="D309" t="s">
        <v>43</v>
      </c>
      <c r="E309" t="s">
        <v>152</v>
      </c>
      <c r="F309" t="s">
        <v>99</v>
      </c>
      <c r="G309" t="s">
        <v>1101</v>
      </c>
      <c r="H309" t="s">
        <v>25</v>
      </c>
      <c r="I309" t="s">
        <v>691</v>
      </c>
      <c r="J309" t="s">
        <v>125</v>
      </c>
      <c r="K309" t="s">
        <v>111</v>
      </c>
      <c r="L309" t="s">
        <v>18</v>
      </c>
      <c r="M309" t="s">
        <v>45</v>
      </c>
      <c r="N309" t="s">
        <v>77</v>
      </c>
      <c r="O309">
        <v>29114</v>
      </c>
      <c r="P309">
        <v>16171</v>
      </c>
      <c r="Q309" t="str">
        <f t="shared" si="8"/>
        <v>Pending</v>
      </c>
      <c r="R309">
        <f t="shared" si="9"/>
        <v>12943</v>
      </c>
    </row>
    <row r="310" spans="1:18">
      <c r="A310">
        <v>309</v>
      </c>
      <c r="B310" t="s">
        <v>1102</v>
      </c>
      <c r="C310" t="s">
        <v>1103</v>
      </c>
      <c r="D310" t="s">
        <v>30</v>
      </c>
      <c r="E310" t="s">
        <v>65</v>
      </c>
      <c r="F310" t="s">
        <v>74</v>
      </c>
      <c r="G310" t="s">
        <v>1104</v>
      </c>
      <c r="H310" t="s">
        <v>22</v>
      </c>
      <c r="I310" t="s">
        <v>204</v>
      </c>
      <c r="J310" t="s">
        <v>95</v>
      </c>
      <c r="K310" t="s">
        <v>96</v>
      </c>
      <c r="L310" t="s">
        <v>21</v>
      </c>
      <c r="M310" t="s">
        <v>42</v>
      </c>
      <c r="N310" t="s">
        <v>77</v>
      </c>
      <c r="O310">
        <v>46050</v>
      </c>
      <c r="P310">
        <v>5102</v>
      </c>
      <c r="Q310" t="str">
        <f t="shared" si="8"/>
        <v>Pending</v>
      </c>
      <c r="R310">
        <f t="shared" si="9"/>
        <v>40948</v>
      </c>
    </row>
    <row r="311" spans="1:18">
      <c r="A311">
        <v>310</v>
      </c>
      <c r="B311" t="s">
        <v>1105</v>
      </c>
      <c r="C311" t="s">
        <v>1106</v>
      </c>
      <c r="D311" t="s">
        <v>31</v>
      </c>
      <c r="E311" t="s">
        <v>87</v>
      </c>
      <c r="F311" t="s">
        <v>66</v>
      </c>
      <c r="G311" t="s">
        <v>1107</v>
      </c>
      <c r="H311" t="s">
        <v>22</v>
      </c>
      <c r="I311" t="s">
        <v>154</v>
      </c>
      <c r="J311" t="s">
        <v>110</v>
      </c>
      <c r="K311" t="s">
        <v>111</v>
      </c>
      <c r="L311" t="s">
        <v>18</v>
      </c>
      <c r="M311" t="s">
        <v>42</v>
      </c>
      <c r="N311" t="s">
        <v>71</v>
      </c>
      <c r="O311">
        <v>21208</v>
      </c>
      <c r="P311">
        <v>8372</v>
      </c>
      <c r="Q311" t="str">
        <f t="shared" si="8"/>
        <v>Pending</v>
      </c>
      <c r="R311">
        <f t="shared" si="9"/>
        <v>12836</v>
      </c>
    </row>
    <row r="312" spans="1:18">
      <c r="A312">
        <v>311</v>
      </c>
      <c r="B312" t="s">
        <v>1108</v>
      </c>
      <c r="C312" t="s">
        <v>1109</v>
      </c>
      <c r="D312" t="s">
        <v>40</v>
      </c>
      <c r="E312" t="s">
        <v>152</v>
      </c>
      <c r="F312" t="s">
        <v>66</v>
      </c>
      <c r="G312" t="s">
        <v>1110</v>
      </c>
      <c r="H312" t="s">
        <v>25</v>
      </c>
      <c r="I312" t="s">
        <v>396</v>
      </c>
      <c r="J312" t="s">
        <v>83</v>
      </c>
      <c r="K312" t="s">
        <v>83</v>
      </c>
      <c r="L312" t="s">
        <v>24</v>
      </c>
      <c r="M312" t="s">
        <v>48</v>
      </c>
      <c r="N312" t="s">
        <v>71</v>
      </c>
      <c r="O312">
        <v>38641</v>
      </c>
      <c r="P312">
        <v>28991</v>
      </c>
      <c r="Q312" t="str">
        <f t="shared" si="8"/>
        <v>Pending</v>
      </c>
      <c r="R312">
        <f t="shared" si="9"/>
        <v>9650</v>
      </c>
    </row>
    <row r="313" spans="1:18">
      <c r="A313">
        <v>312</v>
      </c>
      <c r="B313" t="s">
        <v>1111</v>
      </c>
      <c r="C313" t="s">
        <v>1112</v>
      </c>
      <c r="D313" t="s">
        <v>40</v>
      </c>
      <c r="E313" t="s">
        <v>152</v>
      </c>
      <c r="F313" t="s">
        <v>99</v>
      </c>
      <c r="G313" t="s">
        <v>1113</v>
      </c>
      <c r="H313" t="s">
        <v>25</v>
      </c>
      <c r="I313" t="s">
        <v>392</v>
      </c>
      <c r="J313" t="s">
        <v>95</v>
      </c>
      <c r="K313" t="s">
        <v>96</v>
      </c>
      <c r="L313" t="s">
        <v>21</v>
      </c>
      <c r="M313" t="s">
        <v>48</v>
      </c>
      <c r="N313" t="s">
        <v>77</v>
      </c>
      <c r="O313">
        <v>13275</v>
      </c>
      <c r="P313">
        <v>3550</v>
      </c>
      <c r="Q313" t="str">
        <f t="shared" si="8"/>
        <v>Pending</v>
      </c>
      <c r="R313">
        <f t="shared" si="9"/>
        <v>9725</v>
      </c>
    </row>
    <row r="314" spans="1:18">
      <c r="A314">
        <v>313</v>
      </c>
      <c r="B314" t="s">
        <v>1114</v>
      </c>
      <c r="C314" t="s">
        <v>1115</v>
      </c>
      <c r="D314" t="s">
        <v>26</v>
      </c>
      <c r="E314" t="s">
        <v>65</v>
      </c>
      <c r="F314" t="s">
        <v>99</v>
      </c>
      <c r="G314" t="s">
        <v>1116</v>
      </c>
      <c r="H314" t="s">
        <v>29</v>
      </c>
      <c r="I314" t="s">
        <v>359</v>
      </c>
      <c r="J314" t="s">
        <v>110</v>
      </c>
      <c r="K314" t="s">
        <v>111</v>
      </c>
      <c r="L314" t="s">
        <v>18</v>
      </c>
      <c r="M314" t="s">
        <v>46</v>
      </c>
      <c r="N314" t="s">
        <v>77</v>
      </c>
      <c r="O314">
        <v>33711</v>
      </c>
      <c r="P314">
        <v>12581</v>
      </c>
      <c r="Q314" t="str">
        <f t="shared" si="8"/>
        <v>Pending</v>
      </c>
      <c r="R314">
        <f t="shared" si="9"/>
        <v>21130</v>
      </c>
    </row>
    <row r="315" spans="1:18">
      <c r="A315">
        <v>314</v>
      </c>
      <c r="B315" t="s">
        <v>1117</v>
      </c>
      <c r="C315" t="s">
        <v>1118</v>
      </c>
      <c r="D315" t="s">
        <v>40</v>
      </c>
      <c r="E315" t="s">
        <v>152</v>
      </c>
      <c r="F315" t="s">
        <v>66</v>
      </c>
      <c r="G315" t="s">
        <v>1119</v>
      </c>
      <c r="H315" t="s">
        <v>25</v>
      </c>
      <c r="I315" t="s">
        <v>846</v>
      </c>
      <c r="J315" t="s">
        <v>125</v>
      </c>
      <c r="K315" t="s">
        <v>111</v>
      </c>
      <c r="L315" t="s">
        <v>18</v>
      </c>
      <c r="M315" t="s">
        <v>48</v>
      </c>
      <c r="N315" t="s">
        <v>84</v>
      </c>
      <c r="O315">
        <v>32497</v>
      </c>
      <c r="P315">
        <v>19555</v>
      </c>
      <c r="Q315" t="str">
        <f t="shared" si="8"/>
        <v>Pending</v>
      </c>
      <c r="R315">
        <f t="shared" si="9"/>
        <v>12942</v>
      </c>
    </row>
    <row r="316" spans="1:18">
      <c r="A316">
        <v>315</v>
      </c>
      <c r="B316" t="s">
        <v>1120</v>
      </c>
      <c r="C316" t="s">
        <v>1121</v>
      </c>
      <c r="D316" t="s">
        <v>20</v>
      </c>
      <c r="E316" t="s">
        <v>80</v>
      </c>
      <c r="F316" t="s">
        <v>66</v>
      </c>
      <c r="G316" t="s">
        <v>1122</v>
      </c>
      <c r="H316" t="s">
        <v>19</v>
      </c>
      <c r="I316" t="s">
        <v>577</v>
      </c>
      <c r="J316" t="s">
        <v>125</v>
      </c>
      <c r="K316" t="s">
        <v>111</v>
      </c>
      <c r="L316" t="s">
        <v>18</v>
      </c>
      <c r="M316" t="s">
        <v>48</v>
      </c>
      <c r="N316" t="s">
        <v>71</v>
      </c>
      <c r="O316">
        <v>36546</v>
      </c>
      <c r="P316">
        <v>1128</v>
      </c>
      <c r="Q316" t="str">
        <f t="shared" si="8"/>
        <v>Pending</v>
      </c>
      <c r="R316">
        <f t="shared" si="9"/>
        <v>35418</v>
      </c>
    </row>
    <row r="317" spans="1:18">
      <c r="A317">
        <v>316</v>
      </c>
      <c r="B317" t="s">
        <v>1123</v>
      </c>
      <c r="C317" t="s">
        <v>1124</v>
      </c>
      <c r="D317" t="s">
        <v>36</v>
      </c>
      <c r="E317" t="s">
        <v>152</v>
      </c>
      <c r="F317" t="s">
        <v>66</v>
      </c>
      <c r="G317" t="s">
        <v>1125</v>
      </c>
      <c r="H317" t="s">
        <v>25</v>
      </c>
      <c r="I317" t="s">
        <v>238</v>
      </c>
      <c r="J317" t="s">
        <v>69</v>
      </c>
      <c r="K317" t="s">
        <v>70</v>
      </c>
      <c r="L317" t="s">
        <v>21</v>
      </c>
      <c r="M317" t="s">
        <v>42</v>
      </c>
      <c r="N317" t="s">
        <v>84</v>
      </c>
      <c r="O317">
        <v>15494</v>
      </c>
      <c r="P317">
        <v>8094</v>
      </c>
      <c r="Q317" t="str">
        <f t="shared" si="8"/>
        <v>Pending</v>
      </c>
      <c r="R317">
        <f t="shared" si="9"/>
        <v>7400</v>
      </c>
    </row>
    <row r="318" spans="1:18">
      <c r="A318">
        <v>317</v>
      </c>
      <c r="B318" t="s">
        <v>1126</v>
      </c>
      <c r="C318" t="s">
        <v>1127</v>
      </c>
      <c r="D318" t="s">
        <v>33</v>
      </c>
      <c r="E318" t="s">
        <v>87</v>
      </c>
      <c r="F318" t="s">
        <v>74</v>
      </c>
      <c r="G318" t="s">
        <v>1128</v>
      </c>
      <c r="H318" t="s">
        <v>19</v>
      </c>
      <c r="I318" t="s">
        <v>238</v>
      </c>
      <c r="J318" t="s">
        <v>125</v>
      </c>
      <c r="K318" t="s">
        <v>111</v>
      </c>
      <c r="L318" t="s">
        <v>18</v>
      </c>
      <c r="M318" t="s">
        <v>46</v>
      </c>
      <c r="N318" t="s">
        <v>84</v>
      </c>
      <c r="O318">
        <v>29777</v>
      </c>
      <c r="P318">
        <v>17198</v>
      </c>
      <c r="Q318" t="str">
        <f t="shared" si="8"/>
        <v>Pending</v>
      </c>
      <c r="R318">
        <f t="shared" si="9"/>
        <v>12579</v>
      </c>
    </row>
    <row r="319" spans="1:18">
      <c r="A319">
        <v>318</v>
      </c>
      <c r="B319" t="s">
        <v>1129</v>
      </c>
      <c r="C319" t="s">
        <v>1130</v>
      </c>
      <c r="D319" t="s">
        <v>36</v>
      </c>
      <c r="E319" t="s">
        <v>152</v>
      </c>
      <c r="F319" t="s">
        <v>118</v>
      </c>
      <c r="G319" t="s">
        <v>1131</v>
      </c>
      <c r="H319" t="s">
        <v>19</v>
      </c>
      <c r="I319" t="s">
        <v>68</v>
      </c>
      <c r="J319" t="s">
        <v>69</v>
      </c>
      <c r="K319" t="s">
        <v>70</v>
      </c>
      <c r="L319" t="s">
        <v>21</v>
      </c>
      <c r="M319" t="s">
        <v>42</v>
      </c>
      <c r="N319" t="s">
        <v>84</v>
      </c>
      <c r="O319">
        <v>26579</v>
      </c>
      <c r="P319">
        <v>2599</v>
      </c>
      <c r="Q319" t="str">
        <f t="shared" si="8"/>
        <v>Pending</v>
      </c>
      <c r="R319">
        <f t="shared" si="9"/>
        <v>23980</v>
      </c>
    </row>
    <row r="320" spans="1:18">
      <c r="A320">
        <v>319</v>
      </c>
      <c r="B320" t="s">
        <v>1132</v>
      </c>
      <c r="C320" t="s">
        <v>1133</v>
      </c>
      <c r="D320" t="s">
        <v>28</v>
      </c>
      <c r="E320" t="s">
        <v>65</v>
      </c>
      <c r="F320" t="s">
        <v>88</v>
      </c>
      <c r="G320" t="s">
        <v>1134</v>
      </c>
      <c r="H320" t="s">
        <v>29</v>
      </c>
      <c r="I320" t="s">
        <v>373</v>
      </c>
      <c r="J320" t="s">
        <v>110</v>
      </c>
      <c r="K320" t="s">
        <v>111</v>
      </c>
      <c r="L320" t="s">
        <v>18</v>
      </c>
      <c r="M320" t="s">
        <v>48</v>
      </c>
      <c r="N320" t="s">
        <v>71</v>
      </c>
      <c r="O320">
        <v>19669</v>
      </c>
      <c r="P320">
        <v>10869</v>
      </c>
      <c r="Q320" t="str">
        <f t="shared" si="8"/>
        <v>Pending</v>
      </c>
      <c r="R320">
        <f t="shared" si="9"/>
        <v>8800</v>
      </c>
    </row>
    <row r="321" spans="1:18">
      <c r="A321">
        <v>320</v>
      </c>
      <c r="B321" t="s">
        <v>1135</v>
      </c>
      <c r="C321" t="s">
        <v>1136</v>
      </c>
      <c r="D321" t="s">
        <v>26</v>
      </c>
      <c r="E321" t="s">
        <v>65</v>
      </c>
      <c r="F321" t="s">
        <v>118</v>
      </c>
      <c r="G321" t="s">
        <v>1137</v>
      </c>
      <c r="H321" t="s">
        <v>19</v>
      </c>
      <c r="I321" t="s">
        <v>766</v>
      </c>
      <c r="J321" t="s">
        <v>83</v>
      </c>
      <c r="K321" t="s">
        <v>83</v>
      </c>
      <c r="L321" t="s">
        <v>24</v>
      </c>
      <c r="M321" t="s">
        <v>46</v>
      </c>
      <c r="N321" t="s">
        <v>84</v>
      </c>
      <c r="O321">
        <v>48328</v>
      </c>
      <c r="P321">
        <v>6081</v>
      </c>
      <c r="Q321" t="str">
        <f t="shared" si="8"/>
        <v>Pending</v>
      </c>
      <c r="R321">
        <f t="shared" si="9"/>
        <v>42247</v>
      </c>
    </row>
    <row r="322" spans="1:18">
      <c r="A322">
        <v>321</v>
      </c>
      <c r="B322" t="s">
        <v>1138</v>
      </c>
      <c r="C322" t="s">
        <v>1139</v>
      </c>
      <c r="D322" t="s">
        <v>30</v>
      </c>
      <c r="E322" t="s">
        <v>65</v>
      </c>
      <c r="F322" t="s">
        <v>88</v>
      </c>
      <c r="G322" t="s">
        <v>1140</v>
      </c>
      <c r="H322" t="s">
        <v>29</v>
      </c>
      <c r="I322" t="s">
        <v>396</v>
      </c>
      <c r="J322" t="s">
        <v>95</v>
      </c>
      <c r="K322" t="s">
        <v>96</v>
      </c>
      <c r="L322" t="s">
        <v>21</v>
      </c>
      <c r="M322" t="s">
        <v>42</v>
      </c>
      <c r="N322" t="s">
        <v>71</v>
      </c>
      <c r="O322">
        <v>23518</v>
      </c>
      <c r="P322">
        <v>18460</v>
      </c>
      <c r="Q322" t="str">
        <f t="shared" ref="Q322:Q385" si="10">IF(R322=0,"Received","Pending")</f>
        <v>Pending</v>
      </c>
      <c r="R322">
        <f t="shared" ref="R322:R385" si="11">O322-P322</f>
        <v>5058</v>
      </c>
    </row>
    <row r="323" spans="1:18">
      <c r="A323">
        <v>322</v>
      </c>
      <c r="B323" t="s">
        <v>1141</v>
      </c>
      <c r="C323" t="s">
        <v>1142</v>
      </c>
      <c r="D323" t="s">
        <v>23</v>
      </c>
      <c r="E323" t="s">
        <v>80</v>
      </c>
      <c r="F323" t="s">
        <v>88</v>
      </c>
      <c r="G323" t="s">
        <v>1143</v>
      </c>
      <c r="H323" t="s">
        <v>29</v>
      </c>
      <c r="I323" t="s">
        <v>796</v>
      </c>
      <c r="J323" t="s">
        <v>125</v>
      </c>
      <c r="K323" t="s">
        <v>111</v>
      </c>
      <c r="L323" t="s">
        <v>18</v>
      </c>
      <c r="M323" t="s">
        <v>45</v>
      </c>
      <c r="N323" t="s">
        <v>71</v>
      </c>
      <c r="O323">
        <v>33470</v>
      </c>
      <c r="P323">
        <v>5283</v>
      </c>
      <c r="Q323" t="str">
        <f t="shared" si="10"/>
        <v>Pending</v>
      </c>
      <c r="R323">
        <f t="shared" si="11"/>
        <v>28187</v>
      </c>
    </row>
    <row r="324" spans="1:18">
      <c r="A324">
        <v>323</v>
      </c>
      <c r="B324" t="s">
        <v>1144</v>
      </c>
      <c r="C324" t="s">
        <v>1145</v>
      </c>
      <c r="D324" t="s">
        <v>26</v>
      </c>
      <c r="E324" t="s">
        <v>65</v>
      </c>
      <c r="F324" t="s">
        <v>74</v>
      </c>
      <c r="G324" t="s">
        <v>1146</v>
      </c>
      <c r="H324" t="s">
        <v>25</v>
      </c>
      <c r="I324" t="s">
        <v>1147</v>
      </c>
      <c r="J324" t="s">
        <v>83</v>
      </c>
      <c r="K324" t="s">
        <v>83</v>
      </c>
      <c r="L324" t="s">
        <v>24</v>
      </c>
      <c r="M324" t="s">
        <v>48</v>
      </c>
      <c r="N324" t="s">
        <v>84</v>
      </c>
      <c r="O324">
        <v>39575</v>
      </c>
      <c r="P324">
        <v>6300</v>
      </c>
      <c r="Q324" t="str">
        <f t="shared" si="10"/>
        <v>Pending</v>
      </c>
      <c r="R324">
        <f t="shared" si="11"/>
        <v>33275</v>
      </c>
    </row>
    <row r="325" spans="1:18">
      <c r="A325">
        <v>324</v>
      </c>
      <c r="B325" t="s">
        <v>1148</v>
      </c>
      <c r="C325" t="s">
        <v>1149</v>
      </c>
      <c r="D325" t="s">
        <v>28</v>
      </c>
      <c r="E325" t="s">
        <v>65</v>
      </c>
      <c r="F325" t="s">
        <v>99</v>
      </c>
      <c r="G325" t="s">
        <v>1150</v>
      </c>
      <c r="H325" t="s">
        <v>25</v>
      </c>
      <c r="I325" t="s">
        <v>271</v>
      </c>
      <c r="J325" t="s">
        <v>110</v>
      </c>
      <c r="K325" t="s">
        <v>111</v>
      </c>
      <c r="L325" t="s">
        <v>18</v>
      </c>
      <c r="M325" t="s">
        <v>42</v>
      </c>
      <c r="N325" t="s">
        <v>84</v>
      </c>
      <c r="O325">
        <v>30526</v>
      </c>
      <c r="P325">
        <v>18080</v>
      </c>
      <c r="Q325" t="str">
        <f t="shared" si="10"/>
        <v>Pending</v>
      </c>
      <c r="R325">
        <f t="shared" si="11"/>
        <v>12446</v>
      </c>
    </row>
    <row r="326" spans="1:18">
      <c r="A326">
        <v>325</v>
      </c>
      <c r="B326" t="s">
        <v>1151</v>
      </c>
      <c r="C326" t="s">
        <v>1152</v>
      </c>
      <c r="D326" t="s">
        <v>36</v>
      </c>
      <c r="E326" t="s">
        <v>152</v>
      </c>
      <c r="F326" t="s">
        <v>66</v>
      </c>
      <c r="G326" t="s">
        <v>1153</v>
      </c>
      <c r="H326" t="s">
        <v>22</v>
      </c>
      <c r="I326" t="s">
        <v>1154</v>
      </c>
      <c r="J326" t="s">
        <v>83</v>
      </c>
      <c r="K326" t="s">
        <v>83</v>
      </c>
      <c r="L326" t="s">
        <v>24</v>
      </c>
      <c r="M326" t="s">
        <v>45</v>
      </c>
      <c r="N326" t="s">
        <v>77</v>
      </c>
      <c r="O326">
        <v>5524</v>
      </c>
      <c r="P326">
        <v>530</v>
      </c>
      <c r="Q326" t="str">
        <f t="shared" si="10"/>
        <v>Pending</v>
      </c>
      <c r="R326">
        <f t="shared" si="11"/>
        <v>4994</v>
      </c>
    </row>
    <row r="327" spans="1:18">
      <c r="A327">
        <v>326</v>
      </c>
      <c r="B327" t="s">
        <v>1155</v>
      </c>
      <c r="C327" t="s">
        <v>1156</v>
      </c>
      <c r="D327" t="s">
        <v>20</v>
      </c>
      <c r="E327" t="s">
        <v>80</v>
      </c>
      <c r="F327" t="s">
        <v>88</v>
      </c>
      <c r="G327" t="s">
        <v>1157</v>
      </c>
      <c r="H327" t="s">
        <v>27</v>
      </c>
      <c r="I327" t="s">
        <v>82</v>
      </c>
      <c r="J327" t="s">
        <v>110</v>
      </c>
      <c r="K327" t="s">
        <v>111</v>
      </c>
      <c r="L327" t="s">
        <v>18</v>
      </c>
      <c r="M327" t="s">
        <v>48</v>
      </c>
      <c r="N327" t="s">
        <v>84</v>
      </c>
      <c r="O327">
        <v>35325</v>
      </c>
      <c r="P327">
        <v>20533</v>
      </c>
      <c r="Q327" t="str">
        <f t="shared" si="10"/>
        <v>Pending</v>
      </c>
      <c r="R327">
        <f t="shared" si="11"/>
        <v>14792</v>
      </c>
    </row>
    <row r="328" spans="1:18">
      <c r="A328">
        <v>327</v>
      </c>
      <c r="B328" t="s">
        <v>1158</v>
      </c>
      <c r="C328" t="s">
        <v>1159</v>
      </c>
      <c r="D328" t="s">
        <v>32</v>
      </c>
      <c r="E328" t="s">
        <v>87</v>
      </c>
      <c r="F328" t="s">
        <v>118</v>
      </c>
      <c r="G328" t="s">
        <v>1160</v>
      </c>
      <c r="H328" t="s">
        <v>25</v>
      </c>
      <c r="I328" t="s">
        <v>524</v>
      </c>
      <c r="J328" t="s">
        <v>95</v>
      </c>
      <c r="K328" t="s">
        <v>96</v>
      </c>
      <c r="L328" t="s">
        <v>21</v>
      </c>
      <c r="M328" t="s">
        <v>46</v>
      </c>
      <c r="N328" t="s">
        <v>84</v>
      </c>
      <c r="O328">
        <v>29420</v>
      </c>
      <c r="P328">
        <v>16678</v>
      </c>
      <c r="Q328" t="str">
        <f t="shared" si="10"/>
        <v>Pending</v>
      </c>
      <c r="R328">
        <f t="shared" si="11"/>
        <v>12742</v>
      </c>
    </row>
    <row r="329" spans="1:18">
      <c r="A329">
        <v>328</v>
      </c>
      <c r="B329" t="s">
        <v>1161</v>
      </c>
      <c r="C329" t="s">
        <v>1162</v>
      </c>
      <c r="D329" t="s">
        <v>33</v>
      </c>
      <c r="E329" t="s">
        <v>87</v>
      </c>
      <c r="F329" t="s">
        <v>99</v>
      </c>
      <c r="G329" t="s">
        <v>1163</v>
      </c>
      <c r="H329" t="s">
        <v>25</v>
      </c>
      <c r="I329" t="s">
        <v>332</v>
      </c>
      <c r="J329" t="s">
        <v>69</v>
      </c>
      <c r="K329" t="s">
        <v>70</v>
      </c>
      <c r="L329" t="s">
        <v>21</v>
      </c>
      <c r="M329" t="s">
        <v>42</v>
      </c>
      <c r="N329" t="s">
        <v>77</v>
      </c>
      <c r="O329">
        <v>6516</v>
      </c>
      <c r="P329">
        <v>515</v>
      </c>
      <c r="Q329" t="str">
        <f t="shared" si="10"/>
        <v>Pending</v>
      </c>
      <c r="R329">
        <f t="shared" si="11"/>
        <v>6001</v>
      </c>
    </row>
    <row r="330" spans="1:18">
      <c r="A330">
        <v>329</v>
      </c>
      <c r="B330" t="s">
        <v>1164</v>
      </c>
      <c r="C330" t="s">
        <v>1165</v>
      </c>
      <c r="D330" t="s">
        <v>26</v>
      </c>
      <c r="E330" t="s">
        <v>65</v>
      </c>
      <c r="F330" t="s">
        <v>99</v>
      </c>
      <c r="G330" t="s">
        <v>1166</v>
      </c>
      <c r="H330" t="s">
        <v>19</v>
      </c>
      <c r="I330" t="s">
        <v>585</v>
      </c>
      <c r="J330" t="s">
        <v>110</v>
      </c>
      <c r="K330" t="s">
        <v>111</v>
      </c>
      <c r="L330" t="s">
        <v>18</v>
      </c>
      <c r="M330" t="s">
        <v>42</v>
      </c>
      <c r="N330" t="s">
        <v>84</v>
      </c>
      <c r="O330">
        <v>39912</v>
      </c>
      <c r="P330">
        <v>13632</v>
      </c>
      <c r="Q330" t="str">
        <f t="shared" si="10"/>
        <v>Pending</v>
      </c>
      <c r="R330">
        <f t="shared" si="11"/>
        <v>26280</v>
      </c>
    </row>
    <row r="331" spans="1:18">
      <c r="A331">
        <v>330</v>
      </c>
      <c r="B331" t="s">
        <v>1167</v>
      </c>
      <c r="C331" t="s">
        <v>1168</v>
      </c>
      <c r="D331" t="s">
        <v>40</v>
      </c>
      <c r="E331" t="s">
        <v>152</v>
      </c>
      <c r="F331" t="s">
        <v>118</v>
      </c>
      <c r="G331" t="s">
        <v>1169</v>
      </c>
      <c r="H331" t="s">
        <v>29</v>
      </c>
      <c r="I331" t="s">
        <v>505</v>
      </c>
      <c r="J331" t="s">
        <v>69</v>
      </c>
      <c r="K331" t="s">
        <v>70</v>
      </c>
      <c r="L331" t="s">
        <v>21</v>
      </c>
      <c r="M331" t="s">
        <v>42</v>
      </c>
      <c r="N331" t="s">
        <v>84</v>
      </c>
      <c r="O331">
        <v>17941</v>
      </c>
      <c r="P331">
        <v>12631</v>
      </c>
      <c r="Q331" t="str">
        <f t="shared" si="10"/>
        <v>Pending</v>
      </c>
      <c r="R331">
        <f t="shared" si="11"/>
        <v>5310</v>
      </c>
    </row>
    <row r="332" spans="1:18">
      <c r="A332">
        <v>331</v>
      </c>
      <c r="B332" t="s">
        <v>1170</v>
      </c>
      <c r="C332" t="s">
        <v>1171</v>
      </c>
      <c r="D332" t="s">
        <v>31</v>
      </c>
      <c r="E332" t="s">
        <v>87</v>
      </c>
      <c r="F332" t="s">
        <v>99</v>
      </c>
      <c r="G332" t="s">
        <v>1172</v>
      </c>
      <c r="H332" t="s">
        <v>29</v>
      </c>
      <c r="I332" t="s">
        <v>182</v>
      </c>
      <c r="J332" t="s">
        <v>95</v>
      </c>
      <c r="K332" t="s">
        <v>96</v>
      </c>
      <c r="L332" t="s">
        <v>21</v>
      </c>
      <c r="M332" t="s">
        <v>45</v>
      </c>
      <c r="N332" t="s">
        <v>71</v>
      </c>
      <c r="O332">
        <v>44207</v>
      </c>
      <c r="P332">
        <v>15063</v>
      </c>
      <c r="Q332" t="str">
        <f t="shared" si="10"/>
        <v>Pending</v>
      </c>
      <c r="R332">
        <f t="shared" si="11"/>
        <v>29144</v>
      </c>
    </row>
    <row r="333" spans="1:18">
      <c r="A333">
        <v>332</v>
      </c>
      <c r="B333" t="s">
        <v>1173</v>
      </c>
      <c r="C333" t="s">
        <v>1174</v>
      </c>
      <c r="D333" t="s">
        <v>26</v>
      </c>
      <c r="E333" t="s">
        <v>65</v>
      </c>
      <c r="F333" t="s">
        <v>118</v>
      </c>
      <c r="G333" t="s">
        <v>1175</v>
      </c>
      <c r="H333" t="s">
        <v>27</v>
      </c>
      <c r="I333" t="s">
        <v>332</v>
      </c>
      <c r="J333" t="s">
        <v>125</v>
      </c>
      <c r="K333" t="s">
        <v>111</v>
      </c>
      <c r="L333" t="s">
        <v>18</v>
      </c>
      <c r="M333" t="s">
        <v>45</v>
      </c>
      <c r="N333" t="s">
        <v>84</v>
      </c>
      <c r="O333">
        <v>40158</v>
      </c>
      <c r="P333">
        <v>23903</v>
      </c>
      <c r="Q333" t="str">
        <f t="shared" si="10"/>
        <v>Pending</v>
      </c>
      <c r="R333">
        <f t="shared" si="11"/>
        <v>16255</v>
      </c>
    </row>
    <row r="334" spans="1:18">
      <c r="A334">
        <v>333</v>
      </c>
      <c r="B334" t="s">
        <v>1176</v>
      </c>
      <c r="C334" t="s">
        <v>1177</v>
      </c>
      <c r="D334" t="s">
        <v>33</v>
      </c>
      <c r="E334" t="s">
        <v>87</v>
      </c>
      <c r="F334" t="s">
        <v>66</v>
      </c>
      <c r="G334" t="s">
        <v>1178</v>
      </c>
      <c r="H334" t="s">
        <v>29</v>
      </c>
      <c r="I334" t="s">
        <v>332</v>
      </c>
      <c r="J334" t="s">
        <v>110</v>
      </c>
      <c r="K334" t="s">
        <v>111</v>
      </c>
      <c r="L334" t="s">
        <v>18</v>
      </c>
      <c r="M334" t="s">
        <v>48</v>
      </c>
      <c r="N334" t="s">
        <v>71</v>
      </c>
      <c r="O334">
        <v>41089</v>
      </c>
      <c r="P334">
        <v>23701</v>
      </c>
      <c r="Q334" t="str">
        <f t="shared" si="10"/>
        <v>Pending</v>
      </c>
      <c r="R334">
        <f t="shared" si="11"/>
        <v>17388</v>
      </c>
    </row>
    <row r="335" spans="1:18">
      <c r="A335">
        <v>334</v>
      </c>
      <c r="B335" t="s">
        <v>1179</v>
      </c>
      <c r="C335" t="s">
        <v>1180</v>
      </c>
      <c r="D335" t="s">
        <v>40</v>
      </c>
      <c r="E335" t="s">
        <v>152</v>
      </c>
      <c r="F335" t="s">
        <v>118</v>
      </c>
      <c r="G335" t="s">
        <v>1181</v>
      </c>
      <c r="H335" t="s">
        <v>22</v>
      </c>
      <c r="I335" t="s">
        <v>182</v>
      </c>
      <c r="J335" t="s">
        <v>83</v>
      </c>
      <c r="K335" t="s">
        <v>83</v>
      </c>
      <c r="L335" t="s">
        <v>24</v>
      </c>
      <c r="M335" t="s">
        <v>45</v>
      </c>
      <c r="N335" t="s">
        <v>71</v>
      </c>
      <c r="O335">
        <v>11872</v>
      </c>
      <c r="P335">
        <v>2133</v>
      </c>
      <c r="Q335" t="str">
        <f t="shared" si="10"/>
        <v>Pending</v>
      </c>
      <c r="R335">
        <f t="shared" si="11"/>
        <v>9739</v>
      </c>
    </row>
    <row r="336" spans="1:18">
      <c r="A336">
        <v>335</v>
      </c>
      <c r="B336" t="s">
        <v>1182</v>
      </c>
      <c r="C336" t="s">
        <v>1183</v>
      </c>
      <c r="D336" t="s">
        <v>43</v>
      </c>
      <c r="E336" t="s">
        <v>152</v>
      </c>
      <c r="F336" t="s">
        <v>66</v>
      </c>
      <c r="G336" t="s">
        <v>1184</v>
      </c>
      <c r="H336" t="s">
        <v>25</v>
      </c>
      <c r="I336" t="s">
        <v>204</v>
      </c>
      <c r="J336" t="s">
        <v>83</v>
      </c>
      <c r="K336" t="s">
        <v>83</v>
      </c>
      <c r="L336" t="s">
        <v>24</v>
      </c>
      <c r="M336" t="s">
        <v>48</v>
      </c>
      <c r="N336" t="s">
        <v>84</v>
      </c>
      <c r="O336">
        <v>46409</v>
      </c>
      <c r="P336">
        <v>7470</v>
      </c>
      <c r="Q336" t="str">
        <f t="shared" si="10"/>
        <v>Pending</v>
      </c>
      <c r="R336">
        <f t="shared" si="11"/>
        <v>38939</v>
      </c>
    </row>
    <row r="337" spans="1:18">
      <c r="A337">
        <v>336</v>
      </c>
      <c r="B337" t="s">
        <v>1185</v>
      </c>
      <c r="C337" t="s">
        <v>1186</v>
      </c>
      <c r="D337" t="s">
        <v>40</v>
      </c>
      <c r="E337" t="s">
        <v>152</v>
      </c>
      <c r="F337" t="s">
        <v>66</v>
      </c>
      <c r="G337" t="s">
        <v>1187</v>
      </c>
      <c r="H337" t="s">
        <v>29</v>
      </c>
      <c r="I337" t="s">
        <v>1147</v>
      </c>
      <c r="J337" t="s">
        <v>125</v>
      </c>
      <c r="K337" t="s">
        <v>111</v>
      </c>
      <c r="L337" t="s">
        <v>18</v>
      </c>
      <c r="M337" t="s">
        <v>45</v>
      </c>
      <c r="N337" t="s">
        <v>84</v>
      </c>
      <c r="O337">
        <v>10352</v>
      </c>
      <c r="P337">
        <v>121</v>
      </c>
      <c r="Q337" t="str">
        <f t="shared" si="10"/>
        <v>Pending</v>
      </c>
      <c r="R337">
        <f t="shared" si="11"/>
        <v>10231</v>
      </c>
    </row>
    <row r="338" spans="1:18">
      <c r="A338">
        <v>337</v>
      </c>
      <c r="B338" t="s">
        <v>1188</v>
      </c>
      <c r="C338" t="s">
        <v>1189</v>
      </c>
      <c r="D338" t="s">
        <v>32</v>
      </c>
      <c r="E338" t="s">
        <v>87</v>
      </c>
      <c r="F338" t="s">
        <v>99</v>
      </c>
      <c r="G338" t="s">
        <v>1190</v>
      </c>
      <c r="H338" t="s">
        <v>29</v>
      </c>
      <c r="I338" t="s">
        <v>129</v>
      </c>
      <c r="J338" t="s">
        <v>95</v>
      </c>
      <c r="K338" t="s">
        <v>96</v>
      </c>
      <c r="L338" t="s">
        <v>21</v>
      </c>
      <c r="M338" t="s">
        <v>42</v>
      </c>
      <c r="N338" t="s">
        <v>77</v>
      </c>
      <c r="O338">
        <v>17556</v>
      </c>
      <c r="P338">
        <v>8578</v>
      </c>
      <c r="Q338" t="str">
        <f t="shared" si="10"/>
        <v>Pending</v>
      </c>
      <c r="R338">
        <f t="shared" si="11"/>
        <v>8978</v>
      </c>
    </row>
    <row r="339" spans="1:18">
      <c r="A339">
        <v>338</v>
      </c>
      <c r="B339" t="s">
        <v>1191</v>
      </c>
      <c r="C339" t="s">
        <v>1192</v>
      </c>
      <c r="D339" t="s">
        <v>23</v>
      </c>
      <c r="E339" t="s">
        <v>80</v>
      </c>
      <c r="F339" t="s">
        <v>88</v>
      </c>
      <c r="G339" t="s">
        <v>1193</v>
      </c>
      <c r="H339" t="s">
        <v>27</v>
      </c>
      <c r="I339" t="s">
        <v>548</v>
      </c>
      <c r="J339" t="s">
        <v>110</v>
      </c>
      <c r="K339" t="s">
        <v>111</v>
      </c>
      <c r="L339" t="s">
        <v>18</v>
      </c>
      <c r="M339" t="s">
        <v>45</v>
      </c>
      <c r="N339" t="s">
        <v>77</v>
      </c>
      <c r="O339">
        <v>30269</v>
      </c>
      <c r="P339">
        <v>9005</v>
      </c>
      <c r="Q339" t="str">
        <f t="shared" si="10"/>
        <v>Pending</v>
      </c>
      <c r="R339">
        <f t="shared" si="11"/>
        <v>21264</v>
      </c>
    </row>
    <row r="340" spans="1:18">
      <c r="A340">
        <v>339</v>
      </c>
      <c r="B340" t="s">
        <v>1194</v>
      </c>
      <c r="C340" t="s">
        <v>1195</v>
      </c>
      <c r="D340" t="s">
        <v>32</v>
      </c>
      <c r="E340" t="s">
        <v>87</v>
      </c>
      <c r="F340" t="s">
        <v>99</v>
      </c>
      <c r="G340" t="s">
        <v>1196</v>
      </c>
      <c r="H340" t="s">
        <v>29</v>
      </c>
      <c r="I340" t="s">
        <v>129</v>
      </c>
      <c r="J340" t="s">
        <v>125</v>
      </c>
      <c r="K340" t="s">
        <v>111</v>
      </c>
      <c r="L340" t="s">
        <v>18</v>
      </c>
      <c r="M340" t="s">
        <v>50</v>
      </c>
      <c r="N340" t="s">
        <v>84</v>
      </c>
      <c r="O340">
        <v>9543</v>
      </c>
      <c r="P340">
        <v>6803</v>
      </c>
      <c r="Q340" t="str">
        <f t="shared" si="10"/>
        <v>Pending</v>
      </c>
      <c r="R340">
        <f t="shared" si="11"/>
        <v>2740</v>
      </c>
    </row>
    <row r="341" spans="1:18">
      <c r="A341">
        <v>340</v>
      </c>
      <c r="B341" t="s">
        <v>1197</v>
      </c>
      <c r="C341" t="s">
        <v>1198</v>
      </c>
      <c r="D341" t="s">
        <v>28</v>
      </c>
      <c r="E341" t="s">
        <v>65</v>
      </c>
      <c r="F341" t="s">
        <v>88</v>
      </c>
      <c r="G341" t="s">
        <v>1199</v>
      </c>
      <c r="H341" t="s">
        <v>29</v>
      </c>
      <c r="I341" t="s">
        <v>458</v>
      </c>
      <c r="J341" t="s">
        <v>69</v>
      </c>
      <c r="K341" t="s">
        <v>70</v>
      </c>
      <c r="L341" t="s">
        <v>21</v>
      </c>
      <c r="M341" t="s">
        <v>48</v>
      </c>
      <c r="N341" t="s">
        <v>77</v>
      </c>
      <c r="O341">
        <v>47041</v>
      </c>
      <c r="P341">
        <v>43367</v>
      </c>
      <c r="Q341" t="str">
        <f t="shared" si="10"/>
        <v>Pending</v>
      </c>
      <c r="R341">
        <f t="shared" si="11"/>
        <v>3674</v>
      </c>
    </row>
    <row r="342" spans="1:18">
      <c r="A342">
        <v>341</v>
      </c>
      <c r="B342" t="s">
        <v>1200</v>
      </c>
      <c r="C342" t="s">
        <v>1201</v>
      </c>
      <c r="D342" t="s">
        <v>20</v>
      </c>
      <c r="E342" t="s">
        <v>80</v>
      </c>
      <c r="F342" t="s">
        <v>99</v>
      </c>
      <c r="G342" t="s">
        <v>1202</v>
      </c>
      <c r="H342" t="s">
        <v>22</v>
      </c>
      <c r="I342" t="s">
        <v>548</v>
      </c>
      <c r="J342" t="s">
        <v>125</v>
      </c>
      <c r="K342" t="s">
        <v>111</v>
      </c>
      <c r="L342" t="s">
        <v>18</v>
      </c>
      <c r="M342" t="s">
        <v>46</v>
      </c>
      <c r="N342" t="s">
        <v>84</v>
      </c>
      <c r="O342">
        <v>34959</v>
      </c>
      <c r="P342">
        <v>8322</v>
      </c>
      <c r="Q342" t="str">
        <f t="shared" si="10"/>
        <v>Pending</v>
      </c>
      <c r="R342">
        <f t="shared" si="11"/>
        <v>26637</v>
      </c>
    </row>
    <row r="343" spans="1:18">
      <c r="A343">
        <v>342</v>
      </c>
      <c r="B343" t="s">
        <v>1203</v>
      </c>
      <c r="C343" t="s">
        <v>1204</v>
      </c>
      <c r="D343" t="s">
        <v>40</v>
      </c>
      <c r="E343" t="s">
        <v>152</v>
      </c>
      <c r="F343" t="s">
        <v>88</v>
      </c>
      <c r="G343" t="s">
        <v>1205</v>
      </c>
      <c r="H343" t="s">
        <v>27</v>
      </c>
      <c r="I343" t="s">
        <v>170</v>
      </c>
      <c r="J343" t="s">
        <v>110</v>
      </c>
      <c r="K343" t="s">
        <v>111</v>
      </c>
      <c r="L343" t="s">
        <v>18</v>
      </c>
      <c r="M343" t="s">
        <v>42</v>
      </c>
      <c r="N343" t="s">
        <v>84</v>
      </c>
      <c r="O343">
        <v>23457</v>
      </c>
      <c r="P343">
        <v>9766</v>
      </c>
      <c r="Q343" t="str">
        <f t="shared" si="10"/>
        <v>Pending</v>
      </c>
      <c r="R343">
        <f t="shared" si="11"/>
        <v>13691</v>
      </c>
    </row>
    <row r="344" spans="1:18">
      <c r="A344">
        <v>343</v>
      </c>
      <c r="B344" t="s">
        <v>1206</v>
      </c>
      <c r="C344" t="s">
        <v>1207</v>
      </c>
      <c r="D344" t="s">
        <v>36</v>
      </c>
      <c r="E344" t="s">
        <v>152</v>
      </c>
      <c r="F344" t="s">
        <v>74</v>
      </c>
      <c r="G344" t="s">
        <v>1208</v>
      </c>
      <c r="H344" t="s">
        <v>27</v>
      </c>
      <c r="I344" t="s">
        <v>204</v>
      </c>
      <c r="J344" t="s">
        <v>95</v>
      </c>
      <c r="K344" t="s">
        <v>96</v>
      </c>
      <c r="L344" t="s">
        <v>21</v>
      </c>
      <c r="M344" t="s">
        <v>50</v>
      </c>
      <c r="N344" t="s">
        <v>71</v>
      </c>
      <c r="O344">
        <v>39986</v>
      </c>
      <c r="P344">
        <v>10921</v>
      </c>
      <c r="Q344" t="str">
        <f t="shared" si="10"/>
        <v>Pending</v>
      </c>
      <c r="R344">
        <f t="shared" si="11"/>
        <v>29065</v>
      </c>
    </row>
    <row r="345" spans="1:18">
      <c r="A345">
        <v>344</v>
      </c>
      <c r="B345" t="s">
        <v>1209</v>
      </c>
      <c r="C345" t="s">
        <v>1210</v>
      </c>
      <c r="D345" t="s">
        <v>43</v>
      </c>
      <c r="E345" t="s">
        <v>152</v>
      </c>
      <c r="F345" t="s">
        <v>66</v>
      </c>
      <c r="G345" t="s">
        <v>1211</v>
      </c>
      <c r="H345" t="s">
        <v>25</v>
      </c>
      <c r="I345" t="s">
        <v>204</v>
      </c>
      <c r="J345" t="s">
        <v>95</v>
      </c>
      <c r="K345" t="s">
        <v>96</v>
      </c>
      <c r="L345" t="s">
        <v>21</v>
      </c>
      <c r="M345" t="s">
        <v>42</v>
      </c>
      <c r="N345" t="s">
        <v>71</v>
      </c>
      <c r="O345">
        <v>14061</v>
      </c>
      <c r="P345">
        <v>11863</v>
      </c>
      <c r="Q345" t="str">
        <f t="shared" si="10"/>
        <v>Pending</v>
      </c>
      <c r="R345">
        <f t="shared" si="11"/>
        <v>2198</v>
      </c>
    </row>
    <row r="346" spans="1:18">
      <c r="A346">
        <v>345</v>
      </c>
      <c r="B346" t="s">
        <v>1212</v>
      </c>
      <c r="C346" t="s">
        <v>1213</v>
      </c>
      <c r="D346" t="s">
        <v>40</v>
      </c>
      <c r="E346" t="s">
        <v>152</v>
      </c>
      <c r="F346" t="s">
        <v>74</v>
      </c>
      <c r="G346" t="s">
        <v>1214</v>
      </c>
      <c r="H346" t="s">
        <v>29</v>
      </c>
      <c r="I346" t="s">
        <v>178</v>
      </c>
      <c r="J346" t="s">
        <v>110</v>
      </c>
      <c r="K346" t="s">
        <v>111</v>
      </c>
      <c r="L346" t="s">
        <v>18</v>
      </c>
      <c r="M346" t="s">
        <v>45</v>
      </c>
      <c r="N346" t="s">
        <v>84</v>
      </c>
      <c r="O346">
        <v>16656</v>
      </c>
      <c r="P346">
        <v>719</v>
      </c>
      <c r="Q346" t="str">
        <f t="shared" si="10"/>
        <v>Pending</v>
      </c>
      <c r="R346">
        <f t="shared" si="11"/>
        <v>15937</v>
      </c>
    </row>
    <row r="347" spans="1:18">
      <c r="A347">
        <v>346</v>
      </c>
      <c r="B347" t="s">
        <v>1215</v>
      </c>
      <c r="C347" t="s">
        <v>1216</v>
      </c>
      <c r="D347" t="s">
        <v>31</v>
      </c>
      <c r="E347" t="s">
        <v>87</v>
      </c>
      <c r="F347" t="s">
        <v>74</v>
      </c>
      <c r="G347" t="s">
        <v>1217</v>
      </c>
      <c r="H347" t="s">
        <v>27</v>
      </c>
      <c r="I347" t="s">
        <v>366</v>
      </c>
      <c r="J347" t="s">
        <v>95</v>
      </c>
      <c r="K347" t="s">
        <v>96</v>
      </c>
      <c r="L347" t="s">
        <v>21</v>
      </c>
      <c r="M347" t="s">
        <v>46</v>
      </c>
      <c r="N347" t="s">
        <v>84</v>
      </c>
      <c r="O347">
        <v>26166</v>
      </c>
      <c r="P347">
        <v>11815</v>
      </c>
      <c r="Q347" t="str">
        <f t="shared" si="10"/>
        <v>Pending</v>
      </c>
      <c r="R347">
        <f t="shared" si="11"/>
        <v>14351</v>
      </c>
    </row>
    <row r="348" spans="1:18">
      <c r="A348">
        <v>347</v>
      </c>
      <c r="B348" t="s">
        <v>1218</v>
      </c>
      <c r="C348" t="s">
        <v>1219</v>
      </c>
      <c r="D348" t="s">
        <v>26</v>
      </c>
      <c r="E348" t="s">
        <v>65</v>
      </c>
      <c r="F348" t="s">
        <v>99</v>
      </c>
      <c r="G348" t="s">
        <v>1220</v>
      </c>
      <c r="H348" t="s">
        <v>22</v>
      </c>
      <c r="I348" t="s">
        <v>115</v>
      </c>
      <c r="J348" t="s">
        <v>95</v>
      </c>
      <c r="K348" t="s">
        <v>96</v>
      </c>
      <c r="L348" t="s">
        <v>21</v>
      </c>
      <c r="M348" t="s">
        <v>48</v>
      </c>
      <c r="N348" t="s">
        <v>77</v>
      </c>
      <c r="O348">
        <v>39478</v>
      </c>
      <c r="P348">
        <v>37115</v>
      </c>
      <c r="Q348" t="str">
        <f t="shared" si="10"/>
        <v>Pending</v>
      </c>
      <c r="R348">
        <f t="shared" si="11"/>
        <v>2363</v>
      </c>
    </row>
    <row r="349" spans="1:18">
      <c r="A349">
        <v>348</v>
      </c>
      <c r="B349" t="s">
        <v>1221</v>
      </c>
      <c r="C349" t="s">
        <v>1222</v>
      </c>
      <c r="D349" t="s">
        <v>31</v>
      </c>
      <c r="E349" t="s">
        <v>87</v>
      </c>
      <c r="F349" t="s">
        <v>118</v>
      </c>
      <c r="G349" t="s">
        <v>1223</v>
      </c>
      <c r="H349" t="s">
        <v>27</v>
      </c>
      <c r="I349" t="s">
        <v>263</v>
      </c>
      <c r="J349" t="s">
        <v>110</v>
      </c>
      <c r="K349" t="s">
        <v>111</v>
      </c>
      <c r="L349" t="s">
        <v>18</v>
      </c>
      <c r="M349" t="s">
        <v>45</v>
      </c>
      <c r="N349" t="s">
        <v>77</v>
      </c>
      <c r="O349">
        <v>6513</v>
      </c>
      <c r="P349">
        <v>3388</v>
      </c>
      <c r="Q349" t="str">
        <f t="shared" si="10"/>
        <v>Pending</v>
      </c>
      <c r="R349">
        <f t="shared" si="11"/>
        <v>3125</v>
      </c>
    </row>
    <row r="350" spans="1:18">
      <c r="A350">
        <v>349</v>
      </c>
      <c r="B350" t="s">
        <v>1224</v>
      </c>
      <c r="C350" t="s">
        <v>1225</v>
      </c>
      <c r="D350" t="s">
        <v>17</v>
      </c>
      <c r="E350" t="s">
        <v>80</v>
      </c>
      <c r="F350" t="s">
        <v>118</v>
      </c>
      <c r="G350" t="s">
        <v>1226</v>
      </c>
      <c r="H350" t="s">
        <v>27</v>
      </c>
      <c r="I350" t="s">
        <v>373</v>
      </c>
      <c r="J350" t="s">
        <v>125</v>
      </c>
      <c r="K350" t="s">
        <v>111</v>
      </c>
      <c r="L350" t="s">
        <v>18</v>
      </c>
      <c r="M350" t="s">
        <v>50</v>
      </c>
      <c r="N350" t="s">
        <v>84</v>
      </c>
      <c r="O350">
        <v>16452</v>
      </c>
      <c r="P350">
        <v>11772</v>
      </c>
      <c r="Q350" t="str">
        <f t="shared" si="10"/>
        <v>Pending</v>
      </c>
      <c r="R350">
        <f t="shared" si="11"/>
        <v>4680</v>
      </c>
    </row>
    <row r="351" spans="1:18">
      <c r="A351">
        <v>350</v>
      </c>
      <c r="B351" t="s">
        <v>1227</v>
      </c>
      <c r="C351" t="s">
        <v>1228</v>
      </c>
      <c r="D351" t="s">
        <v>26</v>
      </c>
      <c r="E351" t="s">
        <v>65</v>
      </c>
      <c r="F351" t="s">
        <v>88</v>
      </c>
      <c r="G351" t="s">
        <v>1229</v>
      </c>
      <c r="H351" t="s">
        <v>22</v>
      </c>
      <c r="I351" t="s">
        <v>178</v>
      </c>
      <c r="J351" t="s">
        <v>95</v>
      </c>
      <c r="K351" t="s">
        <v>96</v>
      </c>
      <c r="L351" t="s">
        <v>21</v>
      </c>
      <c r="M351" t="s">
        <v>50</v>
      </c>
      <c r="N351" t="s">
        <v>71</v>
      </c>
      <c r="O351">
        <v>44817</v>
      </c>
      <c r="P351">
        <v>8812</v>
      </c>
      <c r="Q351" t="str">
        <f t="shared" si="10"/>
        <v>Pending</v>
      </c>
      <c r="R351">
        <f t="shared" si="11"/>
        <v>36005</v>
      </c>
    </row>
    <row r="352" spans="1:18">
      <c r="A352">
        <v>351</v>
      </c>
      <c r="B352" t="s">
        <v>1230</v>
      </c>
      <c r="C352" t="s">
        <v>1231</v>
      </c>
      <c r="D352" t="s">
        <v>31</v>
      </c>
      <c r="E352" t="s">
        <v>87</v>
      </c>
      <c r="F352" t="s">
        <v>66</v>
      </c>
      <c r="G352" t="s">
        <v>1232</v>
      </c>
      <c r="H352" t="s">
        <v>22</v>
      </c>
      <c r="I352" t="s">
        <v>238</v>
      </c>
      <c r="J352" t="s">
        <v>125</v>
      </c>
      <c r="K352" t="s">
        <v>111</v>
      </c>
      <c r="L352" t="s">
        <v>18</v>
      </c>
      <c r="M352" t="s">
        <v>45</v>
      </c>
      <c r="N352" t="s">
        <v>84</v>
      </c>
      <c r="O352">
        <v>45624</v>
      </c>
      <c r="P352">
        <v>42171</v>
      </c>
      <c r="Q352" t="str">
        <f t="shared" si="10"/>
        <v>Pending</v>
      </c>
      <c r="R352">
        <f t="shared" si="11"/>
        <v>3453</v>
      </c>
    </row>
    <row r="353" spans="1:18">
      <c r="A353">
        <v>352</v>
      </c>
      <c r="B353" t="s">
        <v>1233</v>
      </c>
      <c r="C353" t="s">
        <v>1234</v>
      </c>
      <c r="D353" t="s">
        <v>17</v>
      </c>
      <c r="E353" t="s">
        <v>80</v>
      </c>
      <c r="F353" t="s">
        <v>99</v>
      </c>
      <c r="G353" t="s">
        <v>1235</v>
      </c>
      <c r="H353" t="s">
        <v>27</v>
      </c>
      <c r="I353" t="s">
        <v>585</v>
      </c>
      <c r="J353" t="s">
        <v>110</v>
      </c>
      <c r="K353" t="s">
        <v>111</v>
      </c>
      <c r="L353" t="s">
        <v>18</v>
      </c>
      <c r="M353" t="s">
        <v>50</v>
      </c>
      <c r="N353" t="s">
        <v>71</v>
      </c>
      <c r="O353">
        <v>29873</v>
      </c>
      <c r="P353">
        <v>1373</v>
      </c>
      <c r="Q353" t="str">
        <f t="shared" si="10"/>
        <v>Pending</v>
      </c>
      <c r="R353">
        <f t="shared" si="11"/>
        <v>28500</v>
      </c>
    </row>
    <row r="354" spans="1:18">
      <c r="A354">
        <v>353</v>
      </c>
      <c r="B354" t="s">
        <v>1236</v>
      </c>
      <c r="C354" t="s">
        <v>1237</v>
      </c>
      <c r="D354" t="s">
        <v>28</v>
      </c>
      <c r="E354" t="s">
        <v>65</v>
      </c>
      <c r="F354" t="s">
        <v>74</v>
      </c>
      <c r="G354" t="s">
        <v>1238</v>
      </c>
      <c r="H354" t="s">
        <v>25</v>
      </c>
      <c r="I354" t="s">
        <v>124</v>
      </c>
      <c r="J354" t="s">
        <v>69</v>
      </c>
      <c r="K354" t="s">
        <v>70</v>
      </c>
      <c r="L354" t="s">
        <v>21</v>
      </c>
      <c r="M354" t="s">
        <v>42</v>
      </c>
      <c r="N354" t="s">
        <v>84</v>
      </c>
      <c r="O354">
        <v>32995</v>
      </c>
      <c r="P354">
        <v>26217</v>
      </c>
      <c r="Q354" t="str">
        <f t="shared" si="10"/>
        <v>Pending</v>
      </c>
      <c r="R354">
        <f t="shared" si="11"/>
        <v>6778</v>
      </c>
    </row>
    <row r="355" spans="1:18">
      <c r="A355">
        <v>354</v>
      </c>
      <c r="B355" t="s">
        <v>1239</v>
      </c>
      <c r="C355" t="s">
        <v>1240</v>
      </c>
      <c r="D355" t="s">
        <v>26</v>
      </c>
      <c r="E355" t="s">
        <v>65</v>
      </c>
      <c r="F355" t="s">
        <v>88</v>
      </c>
      <c r="G355" t="s">
        <v>1241</v>
      </c>
      <c r="H355" t="s">
        <v>22</v>
      </c>
      <c r="I355" t="s">
        <v>216</v>
      </c>
      <c r="J355" t="s">
        <v>125</v>
      </c>
      <c r="K355" t="s">
        <v>111</v>
      </c>
      <c r="L355" t="s">
        <v>18</v>
      </c>
      <c r="M355" t="s">
        <v>46</v>
      </c>
      <c r="N355" t="s">
        <v>84</v>
      </c>
      <c r="O355">
        <v>21845</v>
      </c>
      <c r="P355">
        <v>12266</v>
      </c>
      <c r="Q355" t="str">
        <f t="shared" si="10"/>
        <v>Pending</v>
      </c>
      <c r="R355">
        <f t="shared" si="11"/>
        <v>9579</v>
      </c>
    </row>
    <row r="356" spans="1:18">
      <c r="A356">
        <v>355</v>
      </c>
      <c r="B356" t="s">
        <v>1242</v>
      </c>
      <c r="C356" t="s">
        <v>1243</v>
      </c>
      <c r="D356" t="s">
        <v>31</v>
      </c>
      <c r="E356" t="s">
        <v>87</v>
      </c>
      <c r="F356" t="s">
        <v>118</v>
      </c>
      <c r="G356" t="s">
        <v>1244</v>
      </c>
      <c r="H356" t="s">
        <v>22</v>
      </c>
      <c r="I356" t="s">
        <v>129</v>
      </c>
      <c r="J356" t="s">
        <v>83</v>
      </c>
      <c r="K356" t="s">
        <v>83</v>
      </c>
      <c r="L356" t="s">
        <v>24</v>
      </c>
      <c r="M356" t="s">
        <v>42</v>
      </c>
      <c r="N356" t="s">
        <v>84</v>
      </c>
      <c r="O356">
        <v>23228</v>
      </c>
      <c r="P356">
        <v>22960</v>
      </c>
      <c r="Q356" t="str">
        <f t="shared" si="10"/>
        <v>Pending</v>
      </c>
      <c r="R356">
        <f t="shared" si="11"/>
        <v>268</v>
      </c>
    </row>
    <row r="357" spans="1:18">
      <c r="A357">
        <v>356</v>
      </c>
      <c r="B357" t="s">
        <v>1245</v>
      </c>
      <c r="C357" t="s">
        <v>1246</v>
      </c>
      <c r="D357" t="s">
        <v>28</v>
      </c>
      <c r="E357" t="s">
        <v>65</v>
      </c>
      <c r="F357" t="s">
        <v>99</v>
      </c>
      <c r="G357" t="s">
        <v>1247</v>
      </c>
      <c r="H357" t="s">
        <v>19</v>
      </c>
      <c r="I357" t="s">
        <v>638</v>
      </c>
      <c r="J357" t="s">
        <v>125</v>
      </c>
      <c r="K357" t="s">
        <v>111</v>
      </c>
      <c r="L357" t="s">
        <v>18</v>
      </c>
      <c r="M357" t="s">
        <v>45</v>
      </c>
      <c r="N357" t="s">
        <v>71</v>
      </c>
      <c r="O357">
        <v>26924</v>
      </c>
      <c r="P357">
        <v>1858</v>
      </c>
      <c r="Q357" t="str">
        <f t="shared" si="10"/>
        <v>Pending</v>
      </c>
      <c r="R357">
        <f t="shared" si="11"/>
        <v>25066</v>
      </c>
    </row>
    <row r="358" spans="1:18">
      <c r="A358">
        <v>357</v>
      </c>
      <c r="B358" t="s">
        <v>1248</v>
      </c>
      <c r="C358" t="s">
        <v>1249</v>
      </c>
      <c r="D358" t="s">
        <v>23</v>
      </c>
      <c r="E358" t="s">
        <v>80</v>
      </c>
      <c r="F358" t="s">
        <v>66</v>
      </c>
      <c r="G358" t="s">
        <v>1250</v>
      </c>
      <c r="H358" t="s">
        <v>19</v>
      </c>
      <c r="I358" t="s">
        <v>288</v>
      </c>
      <c r="J358" t="s">
        <v>125</v>
      </c>
      <c r="K358" t="s">
        <v>111</v>
      </c>
      <c r="L358" t="s">
        <v>18</v>
      </c>
      <c r="M358" t="s">
        <v>46</v>
      </c>
      <c r="N358" t="s">
        <v>71</v>
      </c>
      <c r="O358">
        <v>26624</v>
      </c>
      <c r="P358">
        <v>7048</v>
      </c>
      <c r="Q358" t="str">
        <f t="shared" si="10"/>
        <v>Pending</v>
      </c>
      <c r="R358">
        <f t="shared" si="11"/>
        <v>19576</v>
      </c>
    </row>
    <row r="359" spans="1:18">
      <c r="A359">
        <v>358</v>
      </c>
      <c r="B359" t="s">
        <v>1251</v>
      </c>
      <c r="C359" t="s">
        <v>1252</v>
      </c>
      <c r="D359" t="s">
        <v>28</v>
      </c>
      <c r="E359" t="s">
        <v>65</v>
      </c>
      <c r="F359" t="s">
        <v>74</v>
      </c>
      <c r="G359" t="s">
        <v>1253</v>
      </c>
      <c r="H359" t="s">
        <v>19</v>
      </c>
      <c r="I359" t="s">
        <v>182</v>
      </c>
      <c r="J359" t="s">
        <v>125</v>
      </c>
      <c r="K359" t="s">
        <v>111</v>
      </c>
      <c r="L359" t="s">
        <v>18</v>
      </c>
      <c r="M359" t="s">
        <v>46</v>
      </c>
      <c r="N359" t="s">
        <v>84</v>
      </c>
      <c r="O359">
        <v>21503</v>
      </c>
      <c r="P359">
        <v>8809</v>
      </c>
      <c r="Q359" t="str">
        <f t="shared" si="10"/>
        <v>Pending</v>
      </c>
      <c r="R359">
        <f t="shared" si="11"/>
        <v>12694</v>
      </c>
    </row>
    <row r="360" spans="1:18">
      <c r="A360">
        <v>359</v>
      </c>
      <c r="B360" t="s">
        <v>1254</v>
      </c>
      <c r="C360" t="s">
        <v>1255</v>
      </c>
      <c r="D360" t="s">
        <v>26</v>
      </c>
      <c r="E360" t="s">
        <v>65</v>
      </c>
      <c r="F360" t="s">
        <v>118</v>
      </c>
      <c r="G360" t="s">
        <v>1256</v>
      </c>
      <c r="H360" t="s">
        <v>29</v>
      </c>
      <c r="I360" t="s">
        <v>577</v>
      </c>
      <c r="J360" t="s">
        <v>110</v>
      </c>
      <c r="K360" t="s">
        <v>111</v>
      </c>
      <c r="L360" t="s">
        <v>18</v>
      </c>
      <c r="M360" t="s">
        <v>46</v>
      </c>
      <c r="N360" t="s">
        <v>71</v>
      </c>
      <c r="O360">
        <v>35246</v>
      </c>
      <c r="P360">
        <v>21243</v>
      </c>
      <c r="Q360" t="str">
        <f t="shared" si="10"/>
        <v>Pending</v>
      </c>
      <c r="R360">
        <f t="shared" si="11"/>
        <v>14003</v>
      </c>
    </row>
    <row r="361" spans="1:18">
      <c r="A361">
        <v>360</v>
      </c>
      <c r="B361" t="s">
        <v>1257</v>
      </c>
      <c r="C361" t="s">
        <v>1258</v>
      </c>
      <c r="D361" t="s">
        <v>26</v>
      </c>
      <c r="E361" t="s">
        <v>65</v>
      </c>
      <c r="F361" t="s">
        <v>118</v>
      </c>
      <c r="G361" t="s">
        <v>1259</v>
      </c>
      <c r="H361" t="s">
        <v>27</v>
      </c>
      <c r="I361" t="s">
        <v>115</v>
      </c>
      <c r="J361" t="s">
        <v>110</v>
      </c>
      <c r="K361" t="s">
        <v>111</v>
      </c>
      <c r="L361" t="s">
        <v>18</v>
      </c>
      <c r="M361" t="s">
        <v>50</v>
      </c>
      <c r="N361" t="s">
        <v>71</v>
      </c>
      <c r="O361">
        <v>22627</v>
      </c>
      <c r="P361">
        <v>1470</v>
      </c>
      <c r="Q361" t="str">
        <f t="shared" si="10"/>
        <v>Pending</v>
      </c>
      <c r="R361">
        <f t="shared" si="11"/>
        <v>21157</v>
      </c>
    </row>
    <row r="362" spans="1:18">
      <c r="A362">
        <v>361</v>
      </c>
      <c r="B362" t="s">
        <v>1260</v>
      </c>
      <c r="C362" t="s">
        <v>1261</v>
      </c>
      <c r="D362" t="s">
        <v>30</v>
      </c>
      <c r="E362" t="s">
        <v>65</v>
      </c>
      <c r="F362" t="s">
        <v>74</v>
      </c>
      <c r="G362" t="s">
        <v>1262</v>
      </c>
      <c r="H362" t="s">
        <v>27</v>
      </c>
      <c r="I362" t="s">
        <v>1147</v>
      </c>
      <c r="J362" t="s">
        <v>125</v>
      </c>
      <c r="K362" t="s">
        <v>111</v>
      </c>
      <c r="L362" t="s">
        <v>18</v>
      </c>
      <c r="M362" t="s">
        <v>48</v>
      </c>
      <c r="N362" t="s">
        <v>77</v>
      </c>
      <c r="O362">
        <v>32705</v>
      </c>
      <c r="P362">
        <v>32705</v>
      </c>
      <c r="Q362" t="str">
        <f t="shared" si="10"/>
        <v>Received</v>
      </c>
      <c r="R362">
        <f t="shared" si="11"/>
        <v>0</v>
      </c>
    </row>
    <row r="363" spans="1:18">
      <c r="A363">
        <v>362</v>
      </c>
      <c r="B363" t="s">
        <v>1263</v>
      </c>
      <c r="C363" t="s">
        <v>1264</v>
      </c>
      <c r="D363" t="s">
        <v>31</v>
      </c>
      <c r="E363" t="s">
        <v>87</v>
      </c>
      <c r="F363" t="s">
        <v>66</v>
      </c>
      <c r="G363" t="s">
        <v>1265</v>
      </c>
      <c r="H363" t="s">
        <v>29</v>
      </c>
      <c r="I363" t="s">
        <v>971</v>
      </c>
      <c r="J363" t="s">
        <v>83</v>
      </c>
      <c r="K363" t="s">
        <v>83</v>
      </c>
      <c r="L363" t="s">
        <v>24</v>
      </c>
      <c r="M363" t="s">
        <v>45</v>
      </c>
      <c r="N363" t="s">
        <v>84</v>
      </c>
      <c r="O363">
        <v>10841</v>
      </c>
      <c r="P363">
        <v>10714</v>
      </c>
      <c r="Q363" t="str">
        <f t="shared" si="10"/>
        <v>Pending</v>
      </c>
      <c r="R363">
        <f t="shared" si="11"/>
        <v>127</v>
      </c>
    </row>
    <row r="364" spans="1:18">
      <c r="A364">
        <v>363</v>
      </c>
      <c r="B364" t="s">
        <v>1266</v>
      </c>
      <c r="C364" t="s">
        <v>1267</v>
      </c>
      <c r="D364" t="s">
        <v>33</v>
      </c>
      <c r="E364" t="s">
        <v>87</v>
      </c>
      <c r="F364" t="s">
        <v>118</v>
      </c>
      <c r="G364" t="s">
        <v>1268</v>
      </c>
      <c r="H364" t="s">
        <v>27</v>
      </c>
      <c r="I364" t="s">
        <v>133</v>
      </c>
      <c r="J364" t="s">
        <v>83</v>
      </c>
      <c r="K364" t="s">
        <v>83</v>
      </c>
      <c r="L364" t="s">
        <v>24</v>
      </c>
      <c r="M364" t="s">
        <v>50</v>
      </c>
      <c r="N364" t="s">
        <v>84</v>
      </c>
      <c r="O364">
        <v>26840</v>
      </c>
      <c r="P364">
        <v>26172</v>
      </c>
      <c r="Q364" t="str">
        <f t="shared" si="10"/>
        <v>Pending</v>
      </c>
      <c r="R364">
        <f t="shared" si="11"/>
        <v>668</v>
      </c>
    </row>
    <row r="365" spans="1:18">
      <c r="A365">
        <v>364</v>
      </c>
      <c r="B365" t="s">
        <v>1269</v>
      </c>
      <c r="C365" t="s">
        <v>1270</v>
      </c>
      <c r="D365" t="s">
        <v>23</v>
      </c>
      <c r="E365" t="s">
        <v>80</v>
      </c>
      <c r="F365" t="s">
        <v>88</v>
      </c>
      <c r="G365" t="s">
        <v>1271</v>
      </c>
      <c r="H365" t="s">
        <v>29</v>
      </c>
      <c r="I365" t="s">
        <v>246</v>
      </c>
      <c r="J365" t="s">
        <v>69</v>
      </c>
      <c r="K365" t="s">
        <v>70</v>
      </c>
      <c r="L365" t="s">
        <v>21</v>
      </c>
      <c r="M365" t="s">
        <v>46</v>
      </c>
      <c r="N365" t="s">
        <v>84</v>
      </c>
      <c r="O365">
        <v>25396</v>
      </c>
      <c r="P365">
        <v>1364</v>
      </c>
      <c r="Q365" t="str">
        <f t="shared" si="10"/>
        <v>Pending</v>
      </c>
      <c r="R365">
        <f t="shared" si="11"/>
        <v>24032</v>
      </c>
    </row>
    <row r="366" spans="1:18">
      <c r="A366">
        <v>365</v>
      </c>
      <c r="B366" t="s">
        <v>1272</v>
      </c>
      <c r="C366" t="s">
        <v>1273</v>
      </c>
      <c r="D366" t="s">
        <v>32</v>
      </c>
      <c r="E366" t="s">
        <v>87</v>
      </c>
      <c r="F366" t="s">
        <v>66</v>
      </c>
      <c r="G366" t="s">
        <v>1274</v>
      </c>
      <c r="H366" t="s">
        <v>19</v>
      </c>
      <c r="I366" t="s">
        <v>770</v>
      </c>
      <c r="J366" t="s">
        <v>83</v>
      </c>
      <c r="K366" t="s">
        <v>83</v>
      </c>
      <c r="L366" t="s">
        <v>24</v>
      </c>
      <c r="M366" t="s">
        <v>42</v>
      </c>
      <c r="N366" t="s">
        <v>77</v>
      </c>
      <c r="O366">
        <v>5629</v>
      </c>
      <c r="P366">
        <v>1810</v>
      </c>
      <c r="Q366" t="str">
        <f t="shared" si="10"/>
        <v>Pending</v>
      </c>
      <c r="R366">
        <f t="shared" si="11"/>
        <v>3819</v>
      </c>
    </row>
    <row r="367" spans="1:18">
      <c r="A367">
        <v>366</v>
      </c>
      <c r="B367" t="s">
        <v>1275</v>
      </c>
      <c r="C367" t="s">
        <v>1276</v>
      </c>
      <c r="D367" t="s">
        <v>33</v>
      </c>
      <c r="E367" t="s">
        <v>87</v>
      </c>
      <c r="F367" t="s">
        <v>88</v>
      </c>
      <c r="G367" t="s">
        <v>1277</v>
      </c>
      <c r="H367" t="s">
        <v>25</v>
      </c>
      <c r="I367" t="s">
        <v>263</v>
      </c>
      <c r="J367" t="s">
        <v>83</v>
      </c>
      <c r="K367" t="s">
        <v>83</v>
      </c>
      <c r="L367" t="s">
        <v>24</v>
      </c>
      <c r="M367" t="s">
        <v>46</v>
      </c>
      <c r="N367" t="s">
        <v>84</v>
      </c>
      <c r="O367">
        <v>30032</v>
      </c>
      <c r="P367">
        <v>18676</v>
      </c>
      <c r="Q367" t="str">
        <f t="shared" si="10"/>
        <v>Pending</v>
      </c>
      <c r="R367">
        <f t="shared" si="11"/>
        <v>11356</v>
      </c>
    </row>
    <row r="368" spans="1:18">
      <c r="A368">
        <v>367</v>
      </c>
      <c r="B368" t="s">
        <v>1278</v>
      </c>
      <c r="C368" t="s">
        <v>1279</v>
      </c>
      <c r="D368" t="s">
        <v>43</v>
      </c>
      <c r="E368" t="s">
        <v>152</v>
      </c>
      <c r="F368" t="s">
        <v>88</v>
      </c>
      <c r="G368" t="s">
        <v>1280</v>
      </c>
      <c r="H368" t="s">
        <v>19</v>
      </c>
      <c r="I368" t="s">
        <v>770</v>
      </c>
      <c r="J368" t="s">
        <v>69</v>
      </c>
      <c r="K368" t="s">
        <v>70</v>
      </c>
      <c r="L368" t="s">
        <v>21</v>
      </c>
      <c r="M368" t="s">
        <v>48</v>
      </c>
      <c r="N368" t="s">
        <v>77</v>
      </c>
      <c r="O368">
        <v>8503</v>
      </c>
      <c r="P368">
        <v>6640</v>
      </c>
      <c r="Q368" t="str">
        <f t="shared" si="10"/>
        <v>Pending</v>
      </c>
      <c r="R368">
        <f t="shared" si="11"/>
        <v>1863</v>
      </c>
    </row>
    <row r="369" spans="1:18">
      <c r="A369">
        <v>368</v>
      </c>
      <c r="B369" t="s">
        <v>1281</v>
      </c>
      <c r="C369" t="s">
        <v>1282</v>
      </c>
      <c r="D369" t="s">
        <v>20</v>
      </c>
      <c r="E369" t="s">
        <v>80</v>
      </c>
      <c r="F369" t="s">
        <v>66</v>
      </c>
      <c r="G369" t="s">
        <v>1283</v>
      </c>
      <c r="H369" t="s">
        <v>25</v>
      </c>
      <c r="I369" t="s">
        <v>154</v>
      </c>
      <c r="J369" t="s">
        <v>110</v>
      </c>
      <c r="K369" t="s">
        <v>111</v>
      </c>
      <c r="L369" t="s">
        <v>18</v>
      </c>
      <c r="M369" t="s">
        <v>48</v>
      </c>
      <c r="N369" t="s">
        <v>77</v>
      </c>
      <c r="O369">
        <v>6908</v>
      </c>
      <c r="P369">
        <v>2032</v>
      </c>
      <c r="Q369" t="str">
        <f t="shared" si="10"/>
        <v>Pending</v>
      </c>
      <c r="R369">
        <f t="shared" si="11"/>
        <v>4876</v>
      </c>
    </row>
    <row r="370" spans="1:18">
      <c r="A370">
        <v>369</v>
      </c>
      <c r="B370" t="s">
        <v>1284</v>
      </c>
      <c r="C370" t="s">
        <v>1285</v>
      </c>
      <c r="D370" t="s">
        <v>40</v>
      </c>
      <c r="E370" t="s">
        <v>152</v>
      </c>
      <c r="F370" t="s">
        <v>66</v>
      </c>
      <c r="G370" t="s">
        <v>1286</v>
      </c>
      <c r="H370" t="s">
        <v>29</v>
      </c>
      <c r="I370" t="s">
        <v>182</v>
      </c>
      <c r="J370" t="s">
        <v>83</v>
      </c>
      <c r="K370" t="s">
        <v>83</v>
      </c>
      <c r="L370" t="s">
        <v>24</v>
      </c>
      <c r="M370" t="s">
        <v>46</v>
      </c>
      <c r="N370" t="s">
        <v>84</v>
      </c>
      <c r="O370">
        <v>13530</v>
      </c>
      <c r="P370">
        <v>3771</v>
      </c>
      <c r="Q370" t="str">
        <f t="shared" si="10"/>
        <v>Pending</v>
      </c>
      <c r="R370">
        <f t="shared" si="11"/>
        <v>9759</v>
      </c>
    </row>
    <row r="371" spans="1:18">
      <c r="A371">
        <v>370</v>
      </c>
      <c r="B371" t="s">
        <v>1287</v>
      </c>
      <c r="C371" t="s">
        <v>1288</v>
      </c>
      <c r="D371" t="s">
        <v>30</v>
      </c>
      <c r="E371" t="s">
        <v>65</v>
      </c>
      <c r="F371" t="s">
        <v>88</v>
      </c>
      <c r="G371" t="s">
        <v>1289</v>
      </c>
      <c r="H371" t="s">
        <v>25</v>
      </c>
      <c r="I371" t="s">
        <v>141</v>
      </c>
      <c r="J371" t="s">
        <v>69</v>
      </c>
      <c r="K371" t="s">
        <v>70</v>
      </c>
      <c r="L371" t="s">
        <v>21</v>
      </c>
      <c r="M371" t="s">
        <v>50</v>
      </c>
      <c r="N371" t="s">
        <v>77</v>
      </c>
      <c r="O371">
        <v>21625</v>
      </c>
      <c r="P371">
        <v>10177</v>
      </c>
      <c r="Q371" t="str">
        <f t="shared" si="10"/>
        <v>Pending</v>
      </c>
      <c r="R371">
        <f t="shared" si="11"/>
        <v>11448</v>
      </c>
    </row>
    <row r="372" spans="1:18">
      <c r="A372">
        <v>371</v>
      </c>
      <c r="B372" t="s">
        <v>1290</v>
      </c>
      <c r="C372" t="s">
        <v>1291</v>
      </c>
      <c r="D372" t="s">
        <v>32</v>
      </c>
      <c r="E372" t="s">
        <v>87</v>
      </c>
      <c r="F372" t="s">
        <v>66</v>
      </c>
      <c r="G372" t="s">
        <v>1292</v>
      </c>
      <c r="H372" t="s">
        <v>29</v>
      </c>
      <c r="I372" t="s">
        <v>178</v>
      </c>
      <c r="J372" t="s">
        <v>95</v>
      </c>
      <c r="K372" t="s">
        <v>96</v>
      </c>
      <c r="L372" t="s">
        <v>21</v>
      </c>
      <c r="M372" t="s">
        <v>50</v>
      </c>
      <c r="N372" t="s">
        <v>77</v>
      </c>
      <c r="O372">
        <v>11687</v>
      </c>
      <c r="P372">
        <v>11425</v>
      </c>
      <c r="Q372" t="str">
        <f t="shared" si="10"/>
        <v>Pending</v>
      </c>
      <c r="R372">
        <f t="shared" si="11"/>
        <v>262</v>
      </c>
    </row>
    <row r="373" spans="1:18">
      <c r="A373">
        <v>372</v>
      </c>
      <c r="B373" t="s">
        <v>1293</v>
      </c>
      <c r="C373" t="s">
        <v>1294</v>
      </c>
      <c r="D373" t="s">
        <v>40</v>
      </c>
      <c r="E373" t="s">
        <v>152</v>
      </c>
      <c r="F373" t="s">
        <v>118</v>
      </c>
      <c r="G373" t="s">
        <v>1295</v>
      </c>
      <c r="H373" t="s">
        <v>22</v>
      </c>
      <c r="I373" t="s">
        <v>154</v>
      </c>
      <c r="J373" t="s">
        <v>125</v>
      </c>
      <c r="K373" t="s">
        <v>111</v>
      </c>
      <c r="L373" t="s">
        <v>18</v>
      </c>
      <c r="M373" t="s">
        <v>45</v>
      </c>
      <c r="N373" t="s">
        <v>71</v>
      </c>
      <c r="O373">
        <v>19337</v>
      </c>
      <c r="P373">
        <v>16622</v>
      </c>
      <c r="Q373" t="str">
        <f t="shared" si="10"/>
        <v>Pending</v>
      </c>
      <c r="R373">
        <f t="shared" si="11"/>
        <v>2715</v>
      </c>
    </row>
    <row r="374" spans="1:18">
      <c r="A374">
        <v>373</v>
      </c>
      <c r="B374" t="s">
        <v>1296</v>
      </c>
      <c r="C374" t="s">
        <v>1297</v>
      </c>
      <c r="D374" t="s">
        <v>17</v>
      </c>
      <c r="E374" t="s">
        <v>80</v>
      </c>
      <c r="F374" t="s">
        <v>66</v>
      </c>
      <c r="G374" t="s">
        <v>1298</v>
      </c>
      <c r="H374" t="s">
        <v>25</v>
      </c>
      <c r="I374" t="s">
        <v>101</v>
      </c>
      <c r="J374" t="s">
        <v>95</v>
      </c>
      <c r="K374" t="s">
        <v>96</v>
      </c>
      <c r="L374" t="s">
        <v>21</v>
      </c>
      <c r="M374" t="s">
        <v>42</v>
      </c>
      <c r="N374" t="s">
        <v>77</v>
      </c>
      <c r="O374">
        <v>38813</v>
      </c>
      <c r="P374">
        <v>8495</v>
      </c>
      <c r="Q374" t="str">
        <f t="shared" si="10"/>
        <v>Pending</v>
      </c>
      <c r="R374">
        <f t="shared" si="11"/>
        <v>30318</v>
      </c>
    </row>
    <row r="375" spans="1:18">
      <c r="A375">
        <v>374</v>
      </c>
      <c r="B375" t="s">
        <v>1299</v>
      </c>
      <c r="C375" t="s">
        <v>1300</v>
      </c>
      <c r="D375" t="s">
        <v>32</v>
      </c>
      <c r="E375" t="s">
        <v>87</v>
      </c>
      <c r="F375" t="s">
        <v>74</v>
      </c>
      <c r="G375" t="s">
        <v>1301</v>
      </c>
      <c r="H375" t="s">
        <v>29</v>
      </c>
      <c r="I375" t="s">
        <v>170</v>
      </c>
      <c r="J375" t="s">
        <v>125</v>
      </c>
      <c r="K375" t="s">
        <v>111</v>
      </c>
      <c r="L375" t="s">
        <v>18</v>
      </c>
      <c r="M375" t="s">
        <v>45</v>
      </c>
      <c r="N375" t="s">
        <v>77</v>
      </c>
      <c r="O375">
        <v>44841</v>
      </c>
      <c r="P375">
        <v>24204</v>
      </c>
      <c r="Q375" t="str">
        <f t="shared" si="10"/>
        <v>Pending</v>
      </c>
      <c r="R375">
        <f t="shared" si="11"/>
        <v>20637</v>
      </c>
    </row>
    <row r="376" spans="1:18">
      <c r="A376">
        <v>375</v>
      </c>
      <c r="B376" t="s">
        <v>1302</v>
      </c>
      <c r="C376" t="s">
        <v>1303</v>
      </c>
      <c r="D376" t="s">
        <v>26</v>
      </c>
      <c r="E376" t="s">
        <v>65</v>
      </c>
      <c r="F376" t="s">
        <v>88</v>
      </c>
      <c r="G376" t="s">
        <v>1304</v>
      </c>
      <c r="H376" t="s">
        <v>29</v>
      </c>
      <c r="I376" t="s">
        <v>149</v>
      </c>
      <c r="J376" t="s">
        <v>83</v>
      </c>
      <c r="K376" t="s">
        <v>83</v>
      </c>
      <c r="L376" t="s">
        <v>24</v>
      </c>
      <c r="M376" t="s">
        <v>45</v>
      </c>
      <c r="N376" t="s">
        <v>84</v>
      </c>
      <c r="O376">
        <v>47205</v>
      </c>
      <c r="P376">
        <v>35447</v>
      </c>
      <c r="Q376" t="str">
        <f t="shared" si="10"/>
        <v>Pending</v>
      </c>
      <c r="R376">
        <f t="shared" si="11"/>
        <v>11758</v>
      </c>
    </row>
    <row r="377" spans="1:18">
      <c r="A377">
        <v>376</v>
      </c>
      <c r="B377" t="s">
        <v>1305</v>
      </c>
      <c r="C377" t="s">
        <v>1306</v>
      </c>
      <c r="D377" t="s">
        <v>43</v>
      </c>
      <c r="E377" t="s">
        <v>152</v>
      </c>
      <c r="F377" t="s">
        <v>99</v>
      </c>
      <c r="G377" t="s">
        <v>1307</v>
      </c>
      <c r="H377" t="s">
        <v>22</v>
      </c>
      <c r="I377" t="s">
        <v>1014</v>
      </c>
      <c r="J377" t="s">
        <v>69</v>
      </c>
      <c r="K377" t="s">
        <v>70</v>
      </c>
      <c r="L377" t="s">
        <v>21</v>
      </c>
      <c r="M377" t="s">
        <v>50</v>
      </c>
      <c r="N377" t="s">
        <v>84</v>
      </c>
      <c r="O377">
        <v>40270</v>
      </c>
      <c r="P377">
        <v>30206</v>
      </c>
      <c r="Q377" t="str">
        <f t="shared" si="10"/>
        <v>Pending</v>
      </c>
      <c r="R377">
        <f t="shared" si="11"/>
        <v>10064</v>
      </c>
    </row>
    <row r="378" spans="1:18">
      <c r="A378">
        <v>377</v>
      </c>
      <c r="B378" t="s">
        <v>1308</v>
      </c>
      <c r="C378" t="s">
        <v>1309</v>
      </c>
      <c r="D378" t="s">
        <v>36</v>
      </c>
      <c r="E378" t="s">
        <v>152</v>
      </c>
      <c r="F378" t="s">
        <v>99</v>
      </c>
      <c r="G378" t="s">
        <v>1310</v>
      </c>
      <c r="H378" t="s">
        <v>27</v>
      </c>
      <c r="I378" t="s">
        <v>609</v>
      </c>
      <c r="J378" t="s">
        <v>95</v>
      </c>
      <c r="K378" t="s">
        <v>96</v>
      </c>
      <c r="L378" t="s">
        <v>21</v>
      </c>
      <c r="M378" t="s">
        <v>48</v>
      </c>
      <c r="N378" t="s">
        <v>77</v>
      </c>
      <c r="O378">
        <v>27387</v>
      </c>
      <c r="P378">
        <v>8543</v>
      </c>
      <c r="Q378" t="str">
        <f t="shared" si="10"/>
        <v>Pending</v>
      </c>
      <c r="R378">
        <f t="shared" si="11"/>
        <v>18844</v>
      </c>
    </row>
    <row r="379" spans="1:18">
      <c r="A379">
        <v>378</v>
      </c>
      <c r="B379" t="s">
        <v>1311</v>
      </c>
      <c r="C379" t="s">
        <v>1312</v>
      </c>
      <c r="D379" t="s">
        <v>36</v>
      </c>
      <c r="E379" t="s">
        <v>152</v>
      </c>
      <c r="F379" t="s">
        <v>66</v>
      </c>
      <c r="G379" t="s">
        <v>1313</v>
      </c>
      <c r="H379" t="s">
        <v>27</v>
      </c>
      <c r="I379" t="s">
        <v>295</v>
      </c>
      <c r="J379" t="s">
        <v>125</v>
      </c>
      <c r="K379" t="s">
        <v>111</v>
      </c>
      <c r="L379" t="s">
        <v>18</v>
      </c>
      <c r="M379" t="s">
        <v>42</v>
      </c>
      <c r="N379" t="s">
        <v>84</v>
      </c>
      <c r="O379">
        <v>28224</v>
      </c>
      <c r="P379">
        <v>28224</v>
      </c>
      <c r="Q379" t="str">
        <f t="shared" si="10"/>
        <v>Received</v>
      </c>
      <c r="R379">
        <f t="shared" si="11"/>
        <v>0</v>
      </c>
    </row>
    <row r="380" spans="1:18">
      <c r="A380">
        <v>379</v>
      </c>
      <c r="B380" t="s">
        <v>1314</v>
      </c>
      <c r="C380" t="s">
        <v>1315</v>
      </c>
      <c r="D380" t="s">
        <v>31</v>
      </c>
      <c r="E380" t="s">
        <v>87</v>
      </c>
      <c r="F380" t="s">
        <v>99</v>
      </c>
      <c r="G380" t="s">
        <v>1316</v>
      </c>
      <c r="H380" t="s">
        <v>25</v>
      </c>
      <c r="I380" t="s">
        <v>912</v>
      </c>
      <c r="J380" t="s">
        <v>69</v>
      </c>
      <c r="K380" t="s">
        <v>70</v>
      </c>
      <c r="L380" t="s">
        <v>21</v>
      </c>
      <c r="M380" t="s">
        <v>46</v>
      </c>
      <c r="N380" t="s">
        <v>77</v>
      </c>
      <c r="O380">
        <v>49589</v>
      </c>
      <c r="P380">
        <v>13459</v>
      </c>
      <c r="Q380" t="str">
        <f t="shared" si="10"/>
        <v>Pending</v>
      </c>
      <c r="R380">
        <f t="shared" si="11"/>
        <v>36130</v>
      </c>
    </row>
    <row r="381" spans="1:18">
      <c r="A381">
        <v>380</v>
      </c>
      <c r="B381" t="s">
        <v>1317</v>
      </c>
      <c r="C381" t="s">
        <v>1318</v>
      </c>
      <c r="D381" t="s">
        <v>17</v>
      </c>
      <c r="E381" t="s">
        <v>80</v>
      </c>
      <c r="F381" t="s">
        <v>99</v>
      </c>
      <c r="G381" t="s">
        <v>1319</v>
      </c>
      <c r="H381" t="s">
        <v>27</v>
      </c>
      <c r="I381" t="s">
        <v>129</v>
      </c>
      <c r="J381" t="s">
        <v>83</v>
      </c>
      <c r="K381" t="s">
        <v>83</v>
      </c>
      <c r="L381" t="s">
        <v>24</v>
      </c>
      <c r="M381" t="s">
        <v>50</v>
      </c>
      <c r="N381" t="s">
        <v>84</v>
      </c>
      <c r="O381">
        <v>7762</v>
      </c>
      <c r="P381">
        <v>7431</v>
      </c>
      <c r="Q381" t="str">
        <f t="shared" si="10"/>
        <v>Pending</v>
      </c>
      <c r="R381">
        <f t="shared" si="11"/>
        <v>331</v>
      </c>
    </row>
    <row r="382" spans="1:18">
      <c r="A382">
        <v>381</v>
      </c>
      <c r="B382" t="s">
        <v>1320</v>
      </c>
      <c r="C382" t="s">
        <v>1321</v>
      </c>
      <c r="D382" t="s">
        <v>36</v>
      </c>
      <c r="E382" t="s">
        <v>152</v>
      </c>
      <c r="F382" t="s">
        <v>99</v>
      </c>
      <c r="G382" t="s">
        <v>1322</v>
      </c>
      <c r="H382" t="s">
        <v>22</v>
      </c>
      <c r="I382" t="s">
        <v>846</v>
      </c>
      <c r="J382" t="s">
        <v>69</v>
      </c>
      <c r="K382" t="s">
        <v>70</v>
      </c>
      <c r="L382" t="s">
        <v>21</v>
      </c>
      <c r="M382" t="s">
        <v>42</v>
      </c>
      <c r="N382" t="s">
        <v>71</v>
      </c>
      <c r="O382">
        <v>10164</v>
      </c>
      <c r="P382">
        <v>5060</v>
      </c>
      <c r="Q382" t="str">
        <f t="shared" si="10"/>
        <v>Pending</v>
      </c>
      <c r="R382">
        <f t="shared" si="11"/>
        <v>5104</v>
      </c>
    </row>
    <row r="383" spans="1:18">
      <c r="A383">
        <v>382</v>
      </c>
      <c r="B383" t="s">
        <v>1323</v>
      </c>
      <c r="C383" t="s">
        <v>1324</v>
      </c>
      <c r="D383" t="s">
        <v>26</v>
      </c>
      <c r="E383" t="s">
        <v>65</v>
      </c>
      <c r="F383" t="s">
        <v>99</v>
      </c>
      <c r="G383" t="s">
        <v>1325</v>
      </c>
      <c r="H383" t="s">
        <v>19</v>
      </c>
      <c r="I383" t="s">
        <v>288</v>
      </c>
      <c r="J383" t="s">
        <v>125</v>
      </c>
      <c r="K383" t="s">
        <v>111</v>
      </c>
      <c r="L383" t="s">
        <v>18</v>
      </c>
      <c r="M383" t="s">
        <v>45</v>
      </c>
      <c r="N383" t="s">
        <v>77</v>
      </c>
      <c r="O383">
        <v>34083</v>
      </c>
      <c r="P383">
        <v>14374</v>
      </c>
      <c r="Q383" t="str">
        <f t="shared" si="10"/>
        <v>Pending</v>
      </c>
      <c r="R383">
        <f t="shared" si="11"/>
        <v>19709</v>
      </c>
    </row>
    <row r="384" spans="1:18">
      <c r="A384">
        <v>383</v>
      </c>
      <c r="B384" t="s">
        <v>1326</v>
      </c>
      <c r="C384" t="s">
        <v>1327</v>
      </c>
      <c r="D384" t="s">
        <v>31</v>
      </c>
      <c r="E384" t="s">
        <v>87</v>
      </c>
      <c r="F384" t="s">
        <v>74</v>
      </c>
      <c r="G384" t="s">
        <v>1328</v>
      </c>
      <c r="H384" t="s">
        <v>27</v>
      </c>
      <c r="I384" t="s">
        <v>158</v>
      </c>
      <c r="J384" t="s">
        <v>95</v>
      </c>
      <c r="K384" t="s">
        <v>96</v>
      </c>
      <c r="L384" t="s">
        <v>21</v>
      </c>
      <c r="M384" t="s">
        <v>48</v>
      </c>
      <c r="N384" t="s">
        <v>77</v>
      </c>
      <c r="O384">
        <v>5482</v>
      </c>
      <c r="P384">
        <v>1916</v>
      </c>
      <c r="Q384" t="str">
        <f t="shared" si="10"/>
        <v>Pending</v>
      </c>
      <c r="R384">
        <f t="shared" si="11"/>
        <v>3566</v>
      </c>
    </row>
    <row r="385" spans="1:18">
      <c r="A385">
        <v>384</v>
      </c>
      <c r="B385" t="s">
        <v>1329</v>
      </c>
      <c r="C385" t="s">
        <v>1330</v>
      </c>
      <c r="D385" t="s">
        <v>28</v>
      </c>
      <c r="E385" t="s">
        <v>65</v>
      </c>
      <c r="F385" t="s">
        <v>74</v>
      </c>
      <c r="G385" t="s">
        <v>1331</v>
      </c>
      <c r="H385" t="s">
        <v>27</v>
      </c>
      <c r="I385" t="s">
        <v>76</v>
      </c>
      <c r="J385" t="s">
        <v>95</v>
      </c>
      <c r="K385" t="s">
        <v>96</v>
      </c>
      <c r="L385" t="s">
        <v>21</v>
      </c>
      <c r="M385" t="s">
        <v>42</v>
      </c>
      <c r="N385" t="s">
        <v>77</v>
      </c>
      <c r="O385">
        <v>34031</v>
      </c>
      <c r="P385">
        <v>6603</v>
      </c>
      <c r="Q385" t="str">
        <f t="shared" si="10"/>
        <v>Pending</v>
      </c>
      <c r="R385">
        <f t="shared" si="11"/>
        <v>27428</v>
      </c>
    </row>
    <row r="386" spans="1:18">
      <c r="A386">
        <v>385</v>
      </c>
      <c r="B386" t="s">
        <v>1332</v>
      </c>
      <c r="C386" t="s">
        <v>1333</v>
      </c>
      <c r="D386" t="s">
        <v>32</v>
      </c>
      <c r="E386" t="s">
        <v>87</v>
      </c>
      <c r="F386" t="s">
        <v>99</v>
      </c>
      <c r="G386" t="s">
        <v>1334</v>
      </c>
      <c r="H386" t="s">
        <v>19</v>
      </c>
      <c r="I386" t="s">
        <v>288</v>
      </c>
      <c r="J386" t="s">
        <v>95</v>
      </c>
      <c r="K386" t="s">
        <v>96</v>
      </c>
      <c r="L386" t="s">
        <v>21</v>
      </c>
      <c r="M386" t="s">
        <v>50</v>
      </c>
      <c r="N386" t="s">
        <v>84</v>
      </c>
      <c r="O386">
        <v>27273</v>
      </c>
      <c r="P386">
        <v>13764</v>
      </c>
      <c r="Q386" t="str">
        <f t="shared" ref="Q386:Q449" si="12">IF(R386=0,"Received","Pending")</f>
        <v>Pending</v>
      </c>
      <c r="R386">
        <f t="shared" ref="R386:R449" si="13">O386-P386</f>
        <v>13509</v>
      </c>
    </row>
    <row r="387" spans="1:18">
      <c r="A387">
        <v>386</v>
      </c>
      <c r="B387" t="s">
        <v>1335</v>
      </c>
      <c r="C387" t="s">
        <v>1336</v>
      </c>
      <c r="D387" t="s">
        <v>40</v>
      </c>
      <c r="E387" t="s">
        <v>152</v>
      </c>
      <c r="F387" t="s">
        <v>88</v>
      </c>
      <c r="G387" t="s">
        <v>1337</v>
      </c>
      <c r="H387" t="s">
        <v>25</v>
      </c>
      <c r="I387" t="s">
        <v>660</v>
      </c>
      <c r="J387" t="s">
        <v>110</v>
      </c>
      <c r="K387" t="s">
        <v>111</v>
      </c>
      <c r="L387" t="s">
        <v>18</v>
      </c>
      <c r="M387" t="s">
        <v>46</v>
      </c>
      <c r="N387" t="s">
        <v>71</v>
      </c>
      <c r="O387">
        <v>22415</v>
      </c>
      <c r="P387">
        <v>9993</v>
      </c>
      <c r="Q387" t="str">
        <f t="shared" si="12"/>
        <v>Pending</v>
      </c>
      <c r="R387">
        <f t="shared" si="13"/>
        <v>12422</v>
      </c>
    </row>
    <row r="388" spans="1:18">
      <c r="A388">
        <v>387</v>
      </c>
      <c r="B388" t="s">
        <v>1338</v>
      </c>
      <c r="C388" t="s">
        <v>1339</v>
      </c>
      <c r="D388" t="s">
        <v>32</v>
      </c>
      <c r="E388" t="s">
        <v>87</v>
      </c>
      <c r="F388" t="s">
        <v>66</v>
      </c>
      <c r="G388" t="s">
        <v>1340</v>
      </c>
      <c r="H388" t="s">
        <v>25</v>
      </c>
      <c r="I388" t="s">
        <v>741</v>
      </c>
      <c r="J388" t="s">
        <v>125</v>
      </c>
      <c r="K388" t="s">
        <v>111</v>
      </c>
      <c r="L388" t="s">
        <v>18</v>
      </c>
      <c r="M388" t="s">
        <v>42</v>
      </c>
      <c r="N388" t="s">
        <v>84</v>
      </c>
      <c r="O388">
        <v>44402</v>
      </c>
      <c r="P388">
        <v>13842</v>
      </c>
      <c r="Q388" t="str">
        <f t="shared" si="12"/>
        <v>Pending</v>
      </c>
      <c r="R388">
        <f t="shared" si="13"/>
        <v>30560</v>
      </c>
    </row>
    <row r="389" spans="1:18">
      <c r="A389">
        <v>388</v>
      </c>
      <c r="B389" t="s">
        <v>1341</v>
      </c>
      <c r="C389" t="s">
        <v>1342</v>
      </c>
      <c r="D389" t="s">
        <v>32</v>
      </c>
      <c r="E389" t="s">
        <v>87</v>
      </c>
      <c r="F389" t="s">
        <v>118</v>
      </c>
      <c r="G389" t="s">
        <v>1343</v>
      </c>
      <c r="H389" t="s">
        <v>25</v>
      </c>
      <c r="I389" t="s">
        <v>145</v>
      </c>
      <c r="J389" t="s">
        <v>125</v>
      </c>
      <c r="K389" t="s">
        <v>111</v>
      </c>
      <c r="L389" t="s">
        <v>18</v>
      </c>
      <c r="M389" t="s">
        <v>45</v>
      </c>
      <c r="N389" t="s">
        <v>71</v>
      </c>
      <c r="O389">
        <v>47521</v>
      </c>
      <c r="P389">
        <v>6596</v>
      </c>
      <c r="Q389" t="str">
        <f t="shared" si="12"/>
        <v>Pending</v>
      </c>
      <c r="R389">
        <f t="shared" si="13"/>
        <v>40925</v>
      </c>
    </row>
    <row r="390" spans="1:18">
      <c r="A390">
        <v>389</v>
      </c>
      <c r="B390" t="s">
        <v>1344</v>
      </c>
      <c r="C390" t="s">
        <v>1345</v>
      </c>
      <c r="D390" t="s">
        <v>33</v>
      </c>
      <c r="E390" t="s">
        <v>87</v>
      </c>
      <c r="F390" t="s">
        <v>88</v>
      </c>
      <c r="G390" t="s">
        <v>1346</v>
      </c>
      <c r="H390" t="s">
        <v>22</v>
      </c>
      <c r="I390" t="s">
        <v>120</v>
      </c>
      <c r="J390" t="s">
        <v>83</v>
      </c>
      <c r="K390" t="s">
        <v>83</v>
      </c>
      <c r="L390" t="s">
        <v>24</v>
      </c>
      <c r="M390" t="s">
        <v>42</v>
      </c>
      <c r="N390" t="s">
        <v>84</v>
      </c>
      <c r="O390">
        <v>47580</v>
      </c>
      <c r="P390">
        <v>7002</v>
      </c>
      <c r="Q390" t="str">
        <f t="shared" si="12"/>
        <v>Pending</v>
      </c>
      <c r="R390">
        <f t="shared" si="13"/>
        <v>40578</v>
      </c>
    </row>
    <row r="391" spans="1:18">
      <c r="A391">
        <v>390</v>
      </c>
      <c r="B391" t="s">
        <v>1347</v>
      </c>
      <c r="C391" t="s">
        <v>1348</v>
      </c>
      <c r="D391" t="s">
        <v>26</v>
      </c>
      <c r="E391" t="s">
        <v>65</v>
      </c>
      <c r="F391" t="s">
        <v>99</v>
      </c>
      <c r="G391" t="s">
        <v>1349</v>
      </c>
      <c r="H391" t="s">
        <v>19</v>
      </c>
      <c r="I391" t="s">
        <v>359</v>
      </c>
      <c r="J391" t="s">
        <v>125</v>
      </c>
      <c r="K391" t="s">
        <v>111</v>
      </c>
      <c r="L391" t="s">
        <v>18</v>
      </c>
      <c r="M391" t="s">
        <v>48</v>
      </c>
      <c r="N391" t="s">
        <v>71</v>
      </c>
      <c r="O391">
        <v>8650</v>
      </c>
      <c r="P391">
        <v>5255</v>
      </c>
      <c r="Q391" t="str">
        <f t="shared" si="12"/>
        <v>Pending</v>
      </c>
      <c r="R391">
        <f t="shared" si="13"/>
        <v>3395</v>
      </c>
    </row>
    <row r="392" spans="1:18">
      <c r="A392">
        <v>391</v>
      </c>
      <c r="B392" t="s">
        <v>1350</v>
      </c>
      <c r="C392" t="s">
        <v>1351</v>
      </c>
      <c r="D392" t="s">
        <v>28</v>
      </c>
      <c r="E392" t="s">
        <v>65</v>
      </c>
      <c r="F392" t="s">
        <v>66</v>
      </c>
      <c r="G392" t="s">
        <v>1352</v>
      </c>
      <c r="H392" t="s">
        <v>22</v>
      </c>
      <c r="I392" t="s">
        <v>212</v>
      </c>
      <c r="J392" t="s">
        <v>95</v>
      </c>
      <c r="K392" t="s">
        <v>96</v>
      </c>
      <c r="L392" t="s">
        <v>21</v>
      </c>
      <c r="M392" t="s">
        <v>46</v>
      </c>
      <c r="N392" t="s">
        <v>71</v>
      </c>
      <c r="O392">
        <v>49232</v>
      </c>
      <c r="P392">
        <v>13477</v>
      </c>
      <c r="Q392" t="str">
        <f t="shared" si="12"/>
        <v>Pending</v>
      </c>
      <c r="R392">
        <f t="shared" si="13"/>
        <v>35755</v>
      </c>
    </row>
    <row r="393" spans="1:18">
      <c r="A393">
        <v>392</v>
      </c>
      <c r="B393" t="s">
        <v>1353</v>
      </c>
      <c r="C393" t="s">
        <v>1354</v>
      </c>
      <c r="D393" t="s">
        <v>30</v>
      </c>
      <c r="E393" t="s">
        <v>65</v>
      </c>
      <c r="F393" t="s">
        <v>66</v>
      </c>
      <c r="G393" t="s">
        <v>1355</v>
      </c>
      <c r="H393" t="s">
        <v>25</v>
      </c>
      <c r="I393" t="s">
        <v>216</v>
      </c>
      <c r="J393" t="s">
        <v>83</v>
      </c>
      <c r="K393" t="s">
        <v>83</v>
      </c>
      <c r="L393" t="s">
        <v>24</v>
      </c>
      <c r="M393" t="s">
        <v>46</v>
      </c>
      <c r="N393" t="s">
        <v>71</v>
      </c>
      <c r="O393">
        <v>24684</v>
      </c>
      <c r="P393">
        <v>5503</v>
      </c>
      <c r="Q393" t="str">
        <f t="shared" si="12"/>
        <v>Pending</v>
      </c>
      <c r="R393">
        <f t="shared" si="13"/>
        <v>19181</v>
      </c>
    </row>
    <row r="394" spans="1:18">
      <c r="A394">
        <v>393</v>
      </c>
      <c r="B394" t="s">
        <v>1356</v>
      </c>
      <c r="C394" t="s">
        <v>1357</v>
      </c>
      <c r="D394" t="s">
        <v>36</v>
      </c>
      <c r="E394" t="s">
        <v>152</v>
      </c>
      <c r="F394" t="s">
        <v>88</v>
      </c>
      <c r="G394" t="s">
        <v>1358</v>
      </c>
      <c r="H394" t="s">
        <v>22</v>
      </c>
      <c r="I394" t="s">
        <v>599</v>
      </c>
      <c r="J394" t="s">
        <v>110</v>
      </c>
      <c r="K394" t="s">
        <v>111</v>
      </c>
      <c r="L394" t="s">
        <v>18</v>
      </c>
      <c r="M394" t="s">
        <v>48</v>
      </c>
      <c r="N394" t="s">
        <v>84</v>
      </c>
      <c r="O394">
        <v>48787</v>
      </c>
      <c r="P394">
        <v>41738</v>
      </c>
      <c r="Q394" t="str">
        <f t="shared" si="12"/>
        <v>Pending</v>
      </c>
      <c r="R394">
        <f t="shared" si="13"/>
        <v>7049</v>
      </c>
    </row>
    <row r="395" spans="1:18">
      <c r="A395">
        <v>394</v>
      </c>
      <c r="B395" t="s">
        <v>1359</v>
      </c>
      <c r="C395" t="s">
        <v>1360</v>
      </c>
      <c r="D395" t="s">
        <v>20</v>
      </c>
      <c r="E395" t="s">
        <v>80</v>
      </c>
      <c r="F395" t="s">
        <v>66</v>
      </c>
      <c r="G395" t="s">
        <v>1361</v>
      </c>
      <c r="H395" t="s">
        <v>27</v>
      </c>
      <c r="I395" t="s">
        <v>182</v>
      </c>
      <c r="J395" t="s">
        <v>69</v>
      </c>
      <c r="K395" t="s">
        <v>70</v>
      </c>
      <c r="L395" t="s">
        <v>21</v>
      </c>
      <c r="M395" t="s">
        <v>42</v>
      </c>
      <c r="N395" t="s">
        <v>77</v>
      </c>
      <c r="O395">
        <v>24645</v>
      </c>
      <c r="P395">
        <v>19689</v>
      </c>
      <c r="Q395" t="str">
        <f t="shared" si="12"/>
        <v>Pending</v>
      </c>
      <c r="R395">
        <f t="shared" si="13"/>
        <v>4956</v>
      </c>
    </row>
    <row r="396" spans="1:18">
      <c r="A396">
        <v>395</v>
      </c>
      <c r="B396" t="s">
        <v>1362</v>
      </c>
      <c r="C396" t="s">
        <v>1363</v>
      </c>
      <c r="D396" t="s">
        <v>17</v>
      </c>
      <c r="E396" t="s">
        <v>80</v>
      </c>
      <c r="F396" t="s">
        <v>74</v>
      </c>
      <c r="G396" t="s">
        <v>1364</v>
      </c>
      <c r="H396" t="s">
        <v>22</v>
      </c>
      <c r="I396" t="s">
        <v>971</v>
      </c>
      <c r="J396" t="s">
        <v>125</v>
      </c>
      <c r="K396" t="s">
        <v>111</v>
      </c>
      <c r="L396" t="s">
        <v>18</v>
      </c>
      <c r="M396" t="s">
        <v>46</v>
      </c>
      <c r="N396" t="s">
        <v>77</v>
      </c>
      <c r="O396">
        <v>46310</v>
      </c>
      <c r="P396">
        <v>11298</v>
      </c>
      <c r="Q396" t="str">
        <f t="shared" si="12"/>
        <v>Pending</v>
      </c>
      <c r="R396">
        <f t="shared" si="13"/>
        <v>35012</v>
      </c>
    </row>
    <row r="397" spans="1:18">
      <c r="A397">
        <v>396</v>
      </c>
      <c r="B397" t="s">
        <v>1365</v>
      </c>
      <c r="C397" t="s">
        <v>1366</v>
      </c>
      <c r="D397" t="s">
        <v>20</v>
      </c>
      <c r="E397" t="s">
        <v>80</v>
      </c>
      <c r="F397" t="s">
        <v>66</v>
      </c>
      <c r="G397" t="s">
        <v>1367</v>
      </c>
      <c r="H397" t="s">
        <v>22</v>
      </c>
      <c r="I397" t="s">
        <v>1154</v>
      </c>
      <c r="J397" t="s">
        <v>95</v>
      </c>
      <c r="K397" t="s">
        <v>96</v>
      </c>
      <c r="L397" t="s">
        <v>21</v>
      </c>
      <c r="M397" t="s">
        <v>42</v>
      </c>
      <c r="N397" t="s">
        <v>77</v>
      </c>
      <c r="O397">
        <v>21874</v>
      </c>
      <c r="P397">
        <v>424</v>
      </c>
      <c r="Q397" t="str">
        <f t="shared" si="12"/>
        <v>Pending</v>
      </c>
      <c r="R397">
        <f t="shared" si="13"/>
        <v>21450</v>
      </c>
    </row>
    <row r="398" spans="1:18">
      <c r="A398">
        <v>397</v>
      </c>
      <c r="B398" t="s">
        <v>1368</v>
      </c>
      <c r="C398" t="s">
        <v>1369</v>
      </c>
      <c r="D398" t="s">
        <v>30</v>
      </c>
      <c r="E398" t="s">
        <v>65</v>
      </c>
      <c r="F398" t="s">
        <v>66</v>
      </c>
      <c r="G398" t="s">
        <v>1370</v>
      </c>
      <c r="H398" t="s">
        <v>27</v>
      </c>
      <c r="I398" t="s">
        <v>109</v>
      </c>
      <c r="J398" t="s">
        <v>83</v>
      </c>
      <c r="K398" t="s">
        <v>83</v>
      </c>
      <c r="L398" t="s">
        <v>24</v>
      </c>
      <c r="M398" t="s">
        <v>46</v>
      </c>
      <c r="N398" t="s">
        <v>84</v>
      </c>
      <c r="O398">
        <v>10808</v>
      </c>
      <c r="P398">
        <v>7157</v>
      </c>
      <c r="Q398" t="str">
        <f t="shared" si="12"/>
        <v>Pending</v>
      </c>
      <c r="R398">
        <f t="shared" si="13"/>
        <v>3651</v>
      </c>
    </row>
    <row r="399" spans="1:18">
      <c r="A399">
        <v>398</v>
      </c>
      <c r="B399" t="s">
        <v>1371</v>
      </c>
      <c r="C399" t="s">
        <v>1372</v>
      </c>
      <c r="D399" t="s">
        <v>20</v>
      </c>
      <c r="E399" t="s">
        <v>80</v>
      </c>
      <c r="F399" t="s">
        <v>99</v>
      </c>
      <c r="G399" t="s">
        <v>1373</v>
      </c>
      <c r="H399" t="s">
        <v>29</v>
      </c>
      <c r="I399" t="s">
        <v>541</v>
      </c>
      <c r="J399" t="s">
        <v>83</v>
      </c>
      <c r="K399" t="s">
        <v>83</v>
      </c>
      <c r="L399" t="s">
        <v>24</v>
      </c>
      <c r="M399" t="s">
        <v>45</v>
      </c>
      <c r="N399" t="s">
        <v>71</v>
      </c>
      <c r="O399">
        <v>49938</v>
      </c>
      <c r="P399">
        <v>38580</v>
      </c>
      <c r="Q399" t="str">
        <f t="shared" si="12"/>
        <v>Pending</v>
      </c>
      <c r="R399">
        <f t="shared" si="13"/>
        <v>11358</v>
      </c>
    </row>
    <row r="400" spans="1:18">
      <c r="A400">
        <v>399</v>
      </c>
      <c r="B400" t="s">
        <v>1374</v>
      </c>
      <c r="C400" t="s">
        <v>1375</v>
      </c>
      <c r="D400" t="s">
        <v>40</v>
      </c>
      <c r="E400" t="s">
        <v>152</v>
      </c>
      <c r="F400" t="s">
        <v>88</v>
      </c>
      <c r="G400" t="s">
        <v>1376</v>
      </c>
      <c r="H400" t="s">
        <v>29</v>
      </c>
      <c r="I400" t="s">
        <v>366</v>
      </c>
      <c r="J400" t="s">
        <v>110</v>
      </c>
      <c r="K400" t="s">
        <v>111</v>
      </c>
      <c r="L400" t="s">
        <v>18</v>
      </c>
      <c r="M400" t="s">
        <v>46</v>
      </c>
      <c r="N400" t="s">
        <v>71</v>
      </c>
      <c r="O400">
        <v>40309</v>
      </c>
      <c r="P400">
        <v>2859</v>
      </c>
      <c r="Q400" t="str">
        <f t="shared" si="12"/>
        <v>Pending</v>
      </c>
      <c r="R400">
        <f t="shared" si="13"/>
        <v>37450</v>
      </c>
    </row>
    <row r="401" spans="1:18">
      <c r="A401">
        <v>400</v>
      </c>
      <c r="B401" t="s">
        <v>1377</v>
      </c>
      <c r="C401" t="s">
        <v>1378</v>
      </c>
      <c r="D401" t="s">
        <v>17</v>
      </c>
      <c r="E401" t="s">
        <v>80</v>
      </c>
      <c r="F401" t="s">
        <v>118</v>
      </c>
      <c r="G401" t="s">
        <v>1379</v>
      </c>
      <c r="H401" t="s">
        <v>25</v>
      </c>
      <c r="I401" t="s">
        <v>263</v>
      </c>
      <c r="J401" t="s">
        <v>125</v>
      </c>
      <c r="K401" t="s">
        <v>111</v>
      </c>
      <c r="L401" t="s">
        <v>18</v>
      </c>
      <c r="M401" t="s">
        <v>46</v>
      </c>
      <c r="N401" t="s">
        <v>71</v>
      </c>
      <c r="O401">
        <v>29055</v>
      </c>
      <c r="P401">
        <v>24163</v>
      </c>
      <c r="Q401" t="str">
        <f t="shared" si="12"/>
        <v>Pending</v>
      </c>
      <c r="R401">
        <f t="shared" si="13"/>
        <v>4892</v>
      </c>
    </row>
    <row r="402" spans="1:18">
      <c r="A402">
        <v>401</v>
      </c>
      <c r="B402" t="s">
        <v>1380</v>
      </c>
      <c r="C402" t="s">
        <v>1381</v>
      </c>
      <c r="D402" t="s">
        <v>20</v>
      </c>
      <c r="E402" t="s">
        <v>80</v>
      </c>
      <c r="F402" t="s">
        <v>118</v>
      </c>
      <c r="G402" t="s">
        <v>1382</v>
      </c>
      <c r="H402" t="s">
        <v>19</v>
      </c>
      <c r="I402" t="s">
        <v>76</v>
      </c>
      <c r="J402" t="s">
        <v>125</v>
      </c>
      <c r="K402" t="s">
        <v>111</v>
      </c>
      <c r="L402" t="s">
        <v>18</v>
      </c>
      <c r="M402" t="s">
        <v>46</v>
      </c>
      <c r="N402" t="s">
        <v>77</v>
      </c>
      <c r="O402">
        <v>27962</v>
      </c>
      <c r="P402">
        <v>14898</v>
      </c>
      <c r="Q402" t="str">
        <f t="shared" si="12"/>
        <v>Pending</v>
      </c>
      <c r="R402">
        <f t="shared" si="13"/>
        <v>13064</v>
      </c>
    </row>
    <row r="403" spans="1:18">
      <c r="A403">
        <v>402</v>
      </c>
      <c r="B403" t="s">
        <v>1383</v>
      </c>
      <c r="C403" t="s">
        <v>1384</v>
      </c>
      <c r="D403" t="s">
        <v>17</v>
      </c>
      <c r="E403" t="s">
        <v>80</v>
      </c>
      <c r="F403" t="s">
        <v>88</v>
      </c>
      <c r="G403" t="s">
        <v>1385</v>
      </c>
      <c r="H403" t="s">
        <v>27</v>
      </c>
      <c r="I403" t="s">
        <v>105</v>
      </c>
      <c r="J403" t="s">
        <v>110</v>
      </c>
      <c r="K403" t="s">
        <v>111</v>
      </c>
      <c r="L403" t="s">
        <v>18</v>
      </c>
      <c r="M403" t="s">
        <v>50</v>
      </c>
      <c r="N403" t="s">
        <v>71</v>
      </c>
      <c r="O403">
        <v>19683</v>
      </c>
      <c r="P403">
        <v>13042</v>
      </c>
      <c r="Q403" t="str">
        <f t="shared" si="12"/>
        <v>Pending</v>
      </c>
      <c r="R403">
        <f t="shared" si="13"/>
        <v>6641</v>
      </c>
    </row>
    <row r="404" spans="1:18">
      <c r="A404">
        <v>403</v>
      </c>
      <c r="B404" t="s">
        <v>1386</v>
      </c>
      <c r="C404" t="s">
        <v>1387</v>
      </c>
      <c r="D404" t="s">
        <v>28</v>
      </c>
      <c r="E404" t="s">
        <v>65</v>
      </c>
      <c r="F404" t="s">
        <v>66</v>
      </c>
      <c r="G404" t="s">
        <v>1388</v>
      </c>
      <c r="H404" t="s">
        <v>27</v>
      </c>
      <c r="I404" t="s">
        <v>638</v>
      </c>
      <c r="J404" t="s">
        <v>125</v>
      </c>
      <c r="K404" t="s">
        <v>111</v>
      </c>
      <c r="L404" t="s">
        <v>18</v>
      </c>
      <c r="M404" t="s">
        <v>45</v>
      </c>
      <c r="N404" t="s">
        <v>77</v>
      </c>
      <c r="O404">
        <v>9179</v>
      </c>
      <c r="P404">
        <v>4408</v>
      </c>
      <c r="Q404" t="str">
        <f t="shared" si="12"/>
        <v>Pending</v>
      </c>
      <c r="R404">
        <f t="shared" si="13"/>
        <v>4771</v>
      </c>
    </row>
    <row r="405" spans="1:18">
      <c r="A405">
        <v>404</v>
      </c>
      <c r="B405" t="s">
        <v>1389</v>
      </c>
      <c r="C405" t="s">
        <v>1390</v>
      </c>
      <c r="D405" t="s">
        <v>26</v>
      </c>
      <c r="E405" t="s">
        <v>65</v>
      </c>
      <c r="F405" t="s">
        <v>74</v>
      </c>
      <c r="G405" t="s">
        <v>1391</v>
      </c>
      <c r="H405" t="s">
        <v>19</v>
      </c>
      <c r="I405" t="s">
        <v>339</v>
      </c>
      <c r="J405" t="s">
        <v>95</v>
      </c>
      <c r="K405" t="s">
        <v>96</v>
      </c>
      <c r="L405" t="s">
        <v>21</v>
      </c>
      <c r="M405" t="s">
        <v>42</v>
      </c>
      <c r="N405" t="s">
        <v>77</v>
      </c>
      <c r="O405">
        <v>16509</v>
      </c>
      <c r="P405">
        <v>16509</v>
      </c>
      <c r="Q405" t="str">
        <f t="shared" si="12"/>
        <v>Received</v>
      </c>
      <c r="R405">
        <f t="shared" si="13"/>
        <v>0</v>
      </c>
    </row>
    <row r="406" spans="1:18">
      <c r="A406">
        <v>405</v>
      </c>
      <c r="B406" t="s">
        <v>1392</v>
      </c>
      <c r="C406" t="s">
        <v>1393</v>
      </c>
      <c r="D406" t="s">
        <v>30</v>
      </c>
      <c r="E406" t="s">
        <v>65</v>
      </c>
      <c r="F406" t="s">
        <v>66</v>
      </c>
      <c r="G406" t="s">
        <v>1394</v>
      </c>
      <c r="H406" t="s">
        <v>27</v>
      </c>
      <c r="I406" t="s">
        <v>377</v>
      </c>
      <c r="J406" t="s">
        <v>69</v>
      </c>
      <c r="K406" t="s">
        <v>70</v>
      </c>
      <c r="L406" t="s">
        <v>21</v>
      </c>
      <c r="M406" t="s">
        <v>45</v>
      </c>
      <c r="N406" t="s">
        <v>77</v>
      </c>
      <c r="O406">
        <v>39897</v>
      </c>
      <c r="P406">
        <v>29964</v>
      </c>
      <c r="Q406" t="str">
        <f t="shared" si="12"/>
        <v>Pending</v>
      </c>
      <c r="R406">
        <f t="shared" si="13"/>
        <v>9933</v>
      </c>
    </row>
    <row r="407" spans="1:18">
      <c r="A407">
        <v>406</v>
      </c>
      <c r="B407" t="s">
        <v>1395</v>
      </c>
      <c r="C407" t="s">
        <v>1396</v>
      </c>
      <c r="D407" t="s">
        <v>28</v>
      </c>
      <c r="E407" t="s">
        <v>65</v>
      </c>
      <c r="F407" t="s">
        <v>118</v>
      </c>
      <c r="G407" t="s">
        <v>1397</v>
      </c>
      <c r="H407" t="s">
        <v>25</v>
      </c>
      <c r="I407" t="s">
        <v>741</v>
      </c>
      <c r="J407" t="s">
        <v>110</v>
      </c>
      <c r="K407" t="s">
        <v>111</v>
      </c>
      <c r="L407" t="s">
        <v>18</v>
      </c>
      <c r="M407" t="s">
        <v>42</v>
      </c>
      <c r="N407" t="s">
        <v>77</v>
      </c>
      <c r="O407">
        <v>48472</v>
      </c>
      <c r="P407">
        <v>28052</v>
      </c>
      <c r="Q407" t="str">
        <f t="shared" si="12"/>
        <v>Pending</v>
      </c>
      <c r="R407">
        <f t="shared" si="13"/>
        <v>20420</v>
      </c>
    </row>
    <row r="408" spans="1:18">
      <c r="A408">
        <v>407</v>
      </c>
      <c r="B408" t="s">
        <v>1398</v>
      </c>
      <c r="C408" t="s">
        <v>1399</v>
      </c>
      <c r="D408" t="s">
        <v>36</v>
      </c>
      <c r="E408" t="s">
        <v>152</v>
      </c>
      <c r="F408" t="s">
        <v>118</v>
      </c>
      <c r="G408" t="s">
        <v>1400</v>
      </c>
      <c r="H408" t="s">
        <v>19</v>
      </c>
      <c r="I408" t="s">
        <v>82</v>
      </c>
      <c r="J408" t="s">
        <v>95</v>
      </c>
      <c r="K408" t="s">
        <v>96</v>
      </c>
      <c r="L408" t="s">
        <v>21</v>
      </c>
      <c r="M408" t="s">
        <v>48</v>
      </c>
      <c r="N408" t="s">
        <v>77</v>
      </c>
      <c r="O408">
        <v>15226</v>
      </c>
      <c r="P408">
        <v>6318</v>
      </c>
      <c r="Q408" t="str">
        <f t="shared" si="12"/>
        <v>Pending</v>
      </c>
      <c r="R408">
        <f t="shared" si="13"/>
        <v>8908</v>
      </c>
    </row>
    <row r="409" spans="1:18">
      <c r="A409">
        <v>408</v>
      </c>
      <c r="B409" t="s">
        <v>1401</v>
      </c>
      <c r="C409" t="s">
        <v>1402</v>
      </c>
      <c r="D409" t="s">
        <v>40</v>
      </c>
      <c r="E409" t="s">
        <v>152</v>
      </c>
      <c r="F409" t="s">
        <v>99</v>
      </c>
      <c r="G409" t="s">
        <v>1403</v>
      </c>
      <c r="H409" t="s">
        <v>25</v>
      </c>
      <c r="I409" t="s">
        <v>149</v>
      </c>
      <c r="J409" t="s">
        <v>125</v>
      </c>
      <c r="K409" t="s">
        <v>111</v>
      </c>
      <c r="L409" t="s">
        <v>18</v>
      </c>
      <c r="M409" t="s">
        <v>46</v>
      </c>
      <c r="N409" t="s">
        <v>77</v>
      </c>
      <c r="O409">
        <v>15299</v>
      </c>
      <c r="P409">
        <v>1506</v>
      </c>
      <c r="Q409" t="str">
        <f t="shared" si="12"/>
        <v>Pending</v>
      </c>
      <c r="R409">
        <f t="shared" si="13"/>
        <v>13793</v>
      </c>
    </row>
    <row r="410" spans="1:18">
      <c r="A410">
        <v>409</v>
      </c>
      <c r="B410" t="s">
        <v>1404</v>
      </c>
      <c r="C410" t="s">
        <v>1405</v>
      </c>
      <c r="D410" t="s">
        <v>17</v>
      </c>
      <c r="E410" t="s">
        <v>80</v>
      </c>
      <c r="F410" t="s">
        <v>118</v>
      </c>
      <c r="G410" t="s">
        <v>1406</v>
      </c>
      <c r="H410" t="s">
        <v>19</v>
      </c>
      <c r="I410" t="s">
        <v>170</v>
      </c>
      <c r="J410" t="s">
        <v>69</v>
      </c>
      <c r="K410" t="s">
        <v>70</v>
      </c>
      <c r="L410" t="s">
        <v>21</v>
      </c>
      <c r="M410" t="s">
        <v>45</v>
      </c>
      <c r="N410" t="s">
        <v>84</v>
      </c>
      <c r="O410">
        <v>33100</v>
      </c>
      <c r="P410">
        <v>32429</v>
      </c>
      <c r="Q410" t="str">
        <f t="shared" si="12"/>
        <v>Pending</v>
      </c>
      <c r="R410">
        <f t="shared" si="13"/>
        <v>671</v>
      </c>
    </row>
    <row r="411" spans="1:18">
      <c r="A411">
        <v>410</v>
      </c>
      <c r="B411" t="s">
        <v>1407</v>
      </c>
      <c r="C411" t="s">
        <v>1408</v>
      </c>
      <c r="D411" t="s">
        <v>26</v>
      </c>
      <c r="E411" t="s">
        <v>65</v>
      </c>
      <c r="F411" t="s">
        <v>99</v>
      </c>
      <c r="G411" t="s">
        <v>1409</v>
      </c>
      <c r="H411" t="s">
        <v>22</v>
      </c>
      <c r="I411" t="s">
        <v>129</v>
      </c>
      <c r="J411" t="s">
        <v>83</v>
      </c>
      <c r="K411" t="s">
        <v>83</v>
      </c>
      <c r="L411" t="s">
        <v>24</v>
      </c>
      <c r="M411" t="s">
        <v>45</v>
      </c>
      <c r="N411" t="s">
        <v>71</v>
      </c>
      <c r="O411">
        <v>27435</v>
      </c>
      <c r="P411">
        <v>8750</v>
      </c>
      <c r="Q411" t="str">
        <f t="shared" si="12"/>
        <v>Pending</v>
      </c>
      <c r="R411">
        <f t="shared" si="13"/>
        <v>18685</v>
      </c>
    </row>
    <row r="412" spans="1:18">
      <c r="A412">
        <v>411</v>
      </c>
      <c r="B412" t="s">
        <v>1410</v>
      </c>
      <c r="C412" t="s">
        <v>1411</v>
      </c>
      <c r="D412" t="s">
        <v>20</v>
      </c>
      <c r="E412" t="s">
        <v>80</v>
      </c>
      <c r="F412" t="s">
        <v>88</v>
      </c>
      <c r="G412" t="s">
        <v>1412</v>
      </c>
      <c r="H412" t="s">
        <v>22</v>
      </c>
      <c r="I412" t="s">
        <v>638</v>
      </c>
      <c r="J412" t="s">
        <v>95</v>
      </c>
      <c r="K412" t="s">
        <v>96</v>
      </c>
      <c r="L412" t="s">
        <v>21</v>
      </c>
      <c r="M412" t="s">
        <v>50</v>
      </c>
      <c r="N412" t="s">
        <v>77</v>
      </c>
      <c r="O412">
        <v>7397</v>
      </c>
      <c r="P412">
        <v>5885</v>
      </c>
      <c r="Q412" t="str">
        <f t="shared" si="12"/>
        <v>Pending</v>
      </c>
      <c r="R412">
        <f t="shared" si="13"/>
        <v>1512</v>
      </c>
    </row>
    <row r="413" spans="1:18">
      <c r="A413">
        <v>412</v>
      </c>
      <c r="B413" t="s">
        <v>1413</v>
      </c>
      <c r="C413" t="s">
        <v>1414</v>
      </c>
      <c r="D413" t="s">
        <v>33</v>
      </c>
      <c r="E413" t="s">
        <v>87</v>
      </c>
      <c r="F413" t="s">
        <v>66</v>
      </c>
      <c r="G413" t="s">
        <v>1415</v>
      </c>
      <c r="H413" t="s">
        <v>29</v>
      </c>
      <c r="I413" t="s">
        <v>339</v>
      </c>
      <c r="J413" t="s">
        <v>95</v>
      </c>
      <c r="K413" t="s">
        <v>96</v>
      </c>
      <c r="L413" t="s">
        <v>21</v>
      </c>
      <c r="M413" t="s">
        <v>45</v>
      </c>
      <c r="N413" t="s">
        <v>84</v>
      </c>
      <c r="O413">
        <v>45107</v>
      </c>
      <c r="P413">
        <v>8699</v>
      </c>
      <c r="Q413" t="str">
        <f t="shared" si="12"/>
        <v>Pending</v>
      </c>
      <c r="R413">
        <f t="shared" si="13"/>
        <v>36408</v>
      </c>
    </row>
    <row r="414" spans="1:18">
      <c r="A414">
        <v>413</v>
      </c>
      <c r="B414" t="s">
        <v>1416</v>
      </c>
      <c r="C414" t="s">
        <v>1417</v>
      </c>
      <c r="D414" t="s">
        <v>17</v>
      </c>
      <c r="E414" t="s">
        <v>80</v>
      </c>
      <c r="F414" t="s">
        <v>118</v>
      </c>
      <c r="G414" t="s">
        <v>1418</v>
      </c>
      <c r="H414" t="s">
        <v>19</v>
      </c>
      <c r="I414" t="s">
        <v>912</v>
      </c>
      <c r="J414" t="s">
        <v>83</v>
      </c>
      <c r="K414" t="s">
        <v>83</v>
      </c>
      <c r="L414" t="s">
        <v>24</v>
      </c>
      <c r="M414" t="s">
        <v>42</v>
      </c>
      <c r="N414" t="s">
        <v>71</v>
      </c>
      <c r="O414">
        <v>16061</v>
      </c>
      <c r="P414">
        <v>10649</v>
      </c>
      <c r="Q414" t="str">
        <f t="shared" si="12"/>
        <v>Pending</v>
      </c>
      <c r="R414">
        <f t="shared" si="13"/>
        <v>5412</v>
      </c>
    </row>
    <row r="415" spans="1:18">
      <c r="A415">
        <v>414</v>
      </c>
      <c r="B415" t="s">
        <v>1419</v>
      </c>
      <c r="C415" t="s">
        <v>1420</v>
      </c>
      <c r="D415" t="s">
        <v>28</v>
      </c>
      <c r="E415" t="s">
        <v>65</v>
      </c>
      <c r="F415" t="s">
        <v>66</v>
      </c>
      <c r="G415" t="s">
        <v>1421</v>
      </c>
      <c r="H415" t="s">
        <v>25</v>
      </c>
      <c r="I415" t="s">
        <v>388</v>
      </c>
      <c r="J415" t="s">
        <v>95</v>
      </c>
      <c r="K415" t="s">
        <v>96</v>
      </c>
      <c r="L415" t="s">
        <v>21</v>
      </c>
      <c r="M415" t="s">
        <v>50</v>
      </c>
      <c r="N415" t="s">
        <v>77</v>
      </c>
      <c r="O415">
        <v>37422</v>
      </c>
      <c r="P415">
        <v>31210</v>
      </c>
      <c r="Q415" t="str">
        <f t="shared" si="12"/>
        <v>Pending</v>
      </c>
      <c r="R415">
        <f t="shared" si="13"/>
        <v>6212</v>
      </c>
    </row>
    <row r="416" spans="1:18">
      <c r="A416">
        <v>415</v>
      </c>
      <c r="B416" t="s">
        <v>1422</v>
      </c>
      <c r="C416" t="s">
        <v>1423</v>
      </c>
      <c r="D416" t="s">
        <v>33</v>
      </c>
      <c r="E416" t="s">
        <v>87</v>
      </c>
      <c r="F416" t="s">
        <v>66</v>
      </c>
      <c r="G416" t="s">
        <v>1424</v>
      </c>
      <c r="H416" t="s">
        <v>27</v>
      </c>
      <c r="I416" t="s">
        <v>853</v>
      </c>
      <c r="J416" t="s">
        <v>125</v>
      </c>
      <c r="K416" t="s">
        <v>111</v>
      </c>
      <c r="L416" t="s">
        <v>18</v>
      </c>
      <c r="M416" t="s">
        <v>42</v>
      </c>
      <c r="N416" t="s">
        <v>84</v>
      </c>
      <c r="O416">
        <v>35353</v>
      </c>
      <c r="P416">
        <v>28704</v>
      </c>
      <c r="Q416" t="str">
        <f t="shared" si="12"/>
        <v>Pending</v>
      </c>
      <c r="R416">
        <f t="shared" si="13"/>
        <v>6649</v>
      </c>
    </row>
    <row r="417" spans="1:18">
      <c r="A417">
        <v>416</v>
      </c>
      <c r="B417" t="s">
        <v>1425</v>
      </c>
      <c r="C417" t="s">
        <v>1426</v>
      </c>
      <c r="D417" t="s">
        <v>36</v>
      </c>
      <c r="E417" t="s">
        <v>152</v>
      </c>
      <c r="F417" t="s">
        <v>88</v>
      </c>
      <c r="G417" t="s">
        <v>1427</v>
      </c>
      <c r="H417" t="s">
        <v>25</v>
      </c>
      <c r="I417" t="s">
        <v>223</v>
      </c>
      <c r="J417" t="s">
        <v>83</v>
      </c>
      <c r="K417" t="s">
        <v>83</v>
      </c>
      <c r="L417" t="s">
        <v>24</v>
      </c>
      <c r="M417" t="s">
        <v>48</v>
      </c>
      <c r="N417" t="s">
        <v>77</v>
      </c>
      <c r="O417">
        <v>39039</v>
      </c>
      <c r="P417">
        <v>20295</v>
      </c>
      <c r="Q417" t="str">
        <f t="shared" si="12"/>
        <v>Pending</v>
      </c>
      <c r="R417">
        <f t="shared" si="13"/>
        <v>18744</v>
      </c>
    </row>
    <row r="418" spans="1:18">
      <c r="A418">
        <v>417</v>
      </c>
      <c r="B418" t="s">
        <v>1428</v>
      </c>
      <c r="C418" t="s">
        <v>1429</v>
      </c>
      <c r="D418" t="s">
        <v>17</v>
      </c>
      <c r="E418" t="s">
        <v>80</v>
      </c>
      <c r="F418" t="s">
        <v>88</v>
      </c>
      <c r="G418" t="s">
        <v>1430</v>
      </c>
      <c r="H418" t="s">
        <v>19</v>
      </c>
      <c r="I418" t="s">
        <v>212</v>
      </c>
      <c r="J418" t="s">
        <v>69</v>
      </c>
      <c r="K418" t="s">
        <v>70</v>
      </c>
      <c r="L418" t="s">
        <v>21</v>
      </c>
      <c r="M418" t="s">
        <v>42</v>
      </c>
      <c r="N418" t="s">
        <v>71</v>
      </c>
      <c r="O418">
        <v>19765</v>
      </c>
      <c r="P418">
        <v>6258</v>
      </c>
      <c r="Q418" t="str">
        <f t="shared" si="12"/>
        <v>Pending</v>
      </c>
      <c r="R418">
        <f t="shared" si="13"/>
        <v>13507</v>
      </c>
    </row>
    <row r="419" spans="1:18">
      <c r="A419">
        <v>418</v>
      </c>
      <c r="B419" t="s">
        <v>1431</v>
      </c>
      <c r="C419" t="s">
        <v>1432</v>
      </c>
      <c r="D419" t="s">
        <v>26</v>
      </c>
      <c r="E419" t="s">
        <v>65</v>
      </c>
      <c r="F419" t="s">
        <v>118</v>
      </c>
      <c r="G419" t="s">
        <v>1433</v>
      </c>
      <c r="H419" t="s">
        <v>25</v>
      </c>
      <c r="I419" t="s">
        <v>585</v>
      </c>
      <c r="J419" t="s">
        <v>125</v>
      </c>
      <c r="K419" t="s">
        <v>111</v>
      </c>
      <c r="L419" t="s">
        <v>18</v>
      </c>
      <c r="M419" t="s">
        <v>48</v>
      </c>
      <c r="N419" t="s">
        <v>71</v>
      </c>
      <c r="O419">
        <v>23717</v>
      </c>
      <c r="P419">
        <v>22855</v>
      </c>
      <c r="Q419" t="str">
        <f t="shared" si="12"/>
        <v>Pending</v>
      </c>
      <c r="R419">
        <f t="shared" si="13"/>
        <v>862</v>
      </c>
    </row>
    <row r="420" spans="1:18">
      <c r="A420">
        <v>419</v>
      </c>
      <c r="B420" t="s">
        <v>1434</v>
      </c>
      <c r="C420" t="s">
        <v>1435</v>
      </c>
      <c r="D420" t="s">
        <v>33</v>
      </c>
      <c r="E420" t="s">
        <v>87</v>
      </c>
      <c r="F420" t="s">
        <v>118</v>
      </c>
      <c r="G420" t="s">
        <v>1436</v>
      </c>
      <c r="H420" t="s">
        <v>22</v>
      </c>
      <c r="I420" t="s">
        <v>242</v>
      </c>
      <c r="J420" t="s">
        <v>125</v>
      </c>
      <c r="K420" t="s">
        <v>111</v>
      </c>
      <c r="L420" t="s">
        <v>18</v>
      </c>
      <c r="M420" t="s">
        <v>42</v>
      </c>
      <c r="N420" t="s">
        <v>71</v>
      </c>
      <c r="O420">
        <v>6415</v>
      </c>
      <c r="P420">
        <v>3472</v>
      </c>
      <c r="Q420" t="str">
        <f t="shared" si="12"/>
        <v>Pending</v>
      </c>
      <c r="R420">
        <f t="shared" si="13"/>
        <v>2943</v>
      </c>
    </row>
    <row r="421" spans="1:18">
      <c r="A421">
        <v>420</v>
      </c>
      <c r="B421" t="s">
        <v>1437</v>
      </c>
      <c r="C421" t="s">
        <v>1438</v>
      </c>
      <c r="D421" t="s">
        <v>26</v>
      </c>
      <c r="E421" t="s">
        <v>65</v>
      </c>
      <c r="F421" t="s">
        <v>66</v>
      </c>
      <c r="G421" t="s">
        <v>1439</v>
      </c>
      <c r="H421" t="s">
        <v>25</v>
      </c>
      <c r="I421" t="s">
        <v>82</v>
      </c>
      <c r="J421" t="s">
        <v>110</v>
      </c>
      <c r="K421" t="s">
        <v>111</v>
      </c>
      <c r="L421" t="s">
        <v>18</v>
      </c>
      <c r="M421" t="s">
        <v>46</v>
      </c>
      <c r="N421" t="s">
        <v>84</v>
      </c>
      <c r="O421">
        <v>14094</v>
      </c>
      <c r="P421">
        <v>14094</v>
      </c>
      <c r="Q421" t="str">
        <f t="shared" si="12"/>
        <v>Received</v>
      </c>
      <c r="R421">
        <f t="shared" si="13"/>
        <v>0</v>
      </c>
    </row>
    <row r="422" spans="1:18">
      <c r="A422">
        <v>421</v>
      </c>
      <c r="B422" t="s">
        <v>1440</v>
      </c>
      <c r="C422" t="s">
        <v>1441</v>
      </c>
      <c r="D422" t="s">
        <v>26</v>
      </c>
      <c r="E422" t="s">
        <v>65</v>
      </c>
      <c r="F422" t="s">
        <v>88</v>
      </c>
      <c r="G422" t="s">
        <v>1442</v>
      </c>
      <c r="H422" t="s">
        <v>22</v>
      </c>
      <c r="I422" t="s">
        <v>267</v>
      </c>
      <c r="J422" t="s">
        <v>110</v>
      </c>
      <c r="K422" t="s">
        <v>111</v>
      </c>
      <c r="L422" t="s">
        <v>18</v>
      </c>
      <c r="M422" t="s">
        <v>42</v>
      </c>
      <c r="N422" t="s">
        <v>71</v>
      </c>
      <c r="O422">
        <v>31135</v>
      </c>
      <c r="P422">
        <v>2259</v>
      </c>
      <c r="Q422" t="str">
        <f t="shared" si="12"/>
        <v>Pending</v>
      </c>
      <c r="R422">
        <f t="shared" si="13"/>
        <v>28876</v>
      </c>
    </row>
    <row r="423" spans="1:18">
      <c r="A423">
        <v>422</v>
      </c>
      <c r="B423" t="s">
        <v>1443</v>
      </c>
      <c r="C423" t="s">
        <v>1444</v>
      </c>
      <c r="D423" t="s">
        <v>31</v>
      </c>
      <c r="E423" t="s">
        <v>87</v>
      </c>
      <c r="F423" t="s">
        <v>88</v>
      </c>
      <c r="G423" t="s">
        <v>1445</v>
      </c>
      <c r="H423" t="s">
        <v>29</v>
      </c>
      <c r="I423" t="s">
        <v>174</v>
      </c>
      <c r="J423" t="s">
        <v>110</v>
      </c>
      <c r="K423" t="s">
        <v>111</v>
      </c>
      <c r="L423" t="s">
        <v>18</v>
      </c>
      <c r="M423" t="s">
        <v>50</v>
      </c>
      <c r="N423" t="s">
        <v>71</v>
      </c>
      <c r="O423">
        <v>36955</v>
      </c>
      <c r="P423">
        <v>7370</v>
      </c>
      <c r="Q423" t="str">
        <f t="shared" si="12"/>
        <v>Pending</v>
      </c>
      <c r="R423">
        <f t="shared" si="13"/>
        <v>29585</v>
      </c>
    </row>
    <row r="424" spans="1:18">
      <c r="A424">
        <v>423</v>
      </c>
      <c r="B424" t="s">
        <v>1446</v>
      </c>
      <c r="C424" t="s">
        <v>1447</v>
      </c>
      <c r="D424" t="s">
        <v>33</v>
      </c>
      <c r="E424" t="s">
        <v>87</v>
      </c>
      <c r="F424" t="s">
        <v>99</v>
      </c>
      <c r="G424" t="s">
        <v>1448</v>
      </c>
      <c r="H424" t="s">
        <v>29</v>
      </c>
      <c r="I424" t="s">
        <v>373</v>
      </c>
      <c r="J424" t="s">
        <v>125</v>
      </c>
      <c r="K424" t="s">
        <v>111</v>
      </c>
      <c r="L424" t="s">
        <v>18</v>
      </c>
      <c r="M424" t="s">
        <v>46</v>
      </c>
      <c r="N424" t="s">
        <v>71</v>
      </c>
      <c r="O424">
        <v>37921</v>
      </c>
      <c r="P424">
        <v>15729</v>
      </c>
      <c r="Q424" t="str">
        <f t="shared" si="12"/>
        <v>Pending</v>
      </c>
      <c r="R424">
        <f t="shared" si="13"/>
        <v>22192</v>
      </c>
    </row>
    <row r="425" spans="1:18">
      <c r="A425">
        <v>424</v>
      </c>
      <c r="B425" t="s">
        <v>1449</v>
      </c>
      <c r="C425" t="s">
        <v>1450</v>
      </c>
      <c r="D425" t="s">
        <v>43</v>
      </c>
      <c r="E425" t="s">
        <v>152</v>
      </c>
      <c r="F425" t="s">
        <v>118</v>
      </c>
      <c r="G425" t="s">
        <v>1451</v>
      </c>
      <c r="H425" t="s">
        <v>29</v>
      </c>
      <c r="I425" t="s">
        <v>609</v>
      </c>
      <c r="J425" t="s">
        <v>69</v>
      </c>
      <c r="K425" t="s">
        <v>70</v>
      </c>
      <c r="L425" t="s">
        <v>21</v>
      </c>
      <c r="M425" t="s">
        <v>48</v>
      </c>
      <c r="N425" t="s">
        <v>77</v>
      </c>
      <c r="O425">
        <v>23973</v>
      </c>
      <c r="P425">
        <v>20093</v>
      </c>
      <c r="Q425" t="str">
        <f t="shared" si="12"/>
        <v>Pending</v>
      </c>
      <c r="R425">
        <f t="shared" si="13"/>
        <v>3880</v>
      </c>
    </row>
    <row r="426" spans="1:18">
      <c r="A426">
        <v>425</v>
      </c>
      <c r="B426" t="s">
        <v>1452</v>
      </c>
      <c r="C426" t="s">
        <v>1453</v>
      </c>
      <c r="D426" t="s">
        <v>30</v>
      </c>
      <c r="E426" t="s">
        <v>65</v>
      </c>
      <c r="F426" t="s">
        <v>88</v>
      </c>
      <c r="G426" t="s">
        <v>1454</v>
      </c>
      <c r="H426" t="s">
        <v>25</v>
      </c>
      <c r="I426" t="s">
        <v>94</v>
      </c>
      <c r="J426" t="s">
        <v>125</v>
      </c>
      <c r="K426" t="s">
        <v>111</v>
      </c>
      <c r="L426" t="s">
        <v>18</v>
      </c>
      <c r="M426" t="s">
        <v>50</v>
      </c>
      <c r="N426" t="s">
        <v>77</v>
      </c>
      <c r="O426">
        <v>25446</v>
      </c>
      <c r="P426">
        <v>24678</v>
      </c>
      <c r="Q426" t="str">
        <f t="shared" si="12"/>
        <v>Pending</v>
      </c>
      <c r="R426">
        <f t="shared" si="13"/>
        <v>768</v>
      </c>
    </row>
    <row r="427" spans="1:18">
      <c r="A427">
        <v>426</v>
      </c>
      <c r="B427" t="s">
        <v>1455</v>
      </c>
      <c r="C427" t="s">
        <v>1456</v>
      </c>
      <c r="D427" t="s">
        <v>33</v>
      </c>
      <c r="E427" t="s">
        <v>87</v>
      </c>
      <c r="F427" t="s">
        <v>99</v>
      </c>
      <c r="G427" t="s">
        <v>1457</v>
      </c>
      <c r="H427" t="s">
        <v>22</v>
      </c>
      <c r="I427" t="s">
        <v>548</v>
      </c>
      <c r="J427" t="s">
        <v>125</v>
      </c>
      <c r="K427" t="s">
        <v>111</v>
      </c>
      <c r="L427" t="s">
        <v>18</v>
      </c>
      <c r="M427" t="s">
        <v>42</v>
      </c>
      <c r="N427" t="s">
        <v>84</v>
      </c>
      <c r="O427">
        <v>34945</v>
      </c>
      <c r="P427">
        <v>32357</v>
      </c>
      <c r="Q427" t="str">
        <f t="shared" si="12"/>
        <v>Pending</v>
      </c>
      <c r="R427">
        <f t="shared" si="13"/>
        <v>2588</v>
      </c>
    </row>
    <row r="428" spans="1:18">
      <c r="A428">
        <v>427</v>
      </c>
      <c r="B428" t="s">
        <v>1458</v>
      </c>
      <c r="C428" t="s">
        <v>1459</v>
      </c>
      <c r="D428" t="s">
        <v>33</v>
      </c>
      <c r="E428" t="s">
        <v>87</v>
      </c>
      <c r="F428" t="s">
        <v>66</v>
      </c>
      <c r="G428" t="s">
        <v>1460</v>
      </c>
      <c r="H428" t="s">
        <v>22</v>
      </c>
      <c r="I428" t="s">
        <v>505</v>
      </c>
      <c r="J428" t="s">
        <v>95</v>
      </c>
      <c r="K428" t="s">
        <v>96</v>
      </c>
      <c r="L428" t="s">
        <v>21</v>
      </c>
      <c r="M428" t="s">
        <v>50</v>
      </c>
      <c r="N428" t="s">
        <v>84</v>
      </c>
      <c r="O428">
        <v>21220</v>
      </c>
      <c r="P428">
        <v>9782</v>
      </c>
      <c r="Q428" t="str">
        <f t="shared" si="12"/>
        <v>Pending</v>
      </c>
      <c r="R428">
        <f t="shared" si="13"/>
        <v>11438</v>
      </c>
    </row>
    <row r="429" spans="1:18">
      <c r="A429">
        <v>428</v>
      </c>
      <c r="B429" t="s">
        <v>1461</v>
      </c>
      <c r="C429" t="s">
        <v>1462</v>
      </c>
      <c r="D429" t="s">
        <v>20</v>
      </c>
      <c r="E429" t="s">
        <v>80</v>
      </c>
      <c r="F429" t="s">
        <v>88</v>
      </c>
      <c r="G429" t="s">
        <v>1463</v>
      </c>
      <c r="H429" t="s">
        <v>19</v>
      </c>
      <c r="I429" t="s">
        <v>631</v>
      </c>
      <c r="J429" t="s">
        <v>125</v>
      </c>
      <c r="K429" t="s">
        <v>111</v>
      </c>
      <c r="L429" t="s">
        <v>18</v>
      </c>
      <c r="M429" t="s">
        <v>45</v>
      </c>
      <c r="N429" t="s">
        <v>71</v>
      </c>
      <c r="O429">
        <v>22380</v>
      </c>
      <c r="P429">
        <v>17696</v>
      </c>
      <c r="Q429" t="str">
        <f t="shared" si="12"/>
        <v>Pending</v>
      </c>
      <c r="R429">
        <f t="shared" si="13"/>
        <v>4684</v>
      </c>
    </row>
    <row r="430" spans="1:18">
      <c r="A430">
        <v>429</v>
      </c>
      <c r="B430" t="s">
        <v>1464</v>
      </c>
      <c r="C430" t="s">
        <v>1465</v>
      </c>
      <c r="D430" t="s">
        <v>40</v>
      </c>
      <c r="E430" t="s">
        <v>152</v>
      </c>
      <c r="F430" t="s">
        <v>66</v>
      </c>
      <c r="G430" t="s">
        <v>1466</v>
      </c>
      <c r="H430" t="s">
        <v>19</v>
      </c>
      <c r="I430" t="s">
        <v>154</v>
      </c>
      <c r="J430" t="s">
        <v>69</v>
      </c>
      <c r="K430" t="s">
        <v>70</v>
      </c>
      <c r="L430" t="s">
        <v>21</v>
      </c>
      <c r="M430" t="s">
        <v>50</v>
      </c>
      <c r="N430" t="s">
        <v>77</v>
      </c>
      <c r="O430">
        <v>26731</v>
      </c>
      <c r="P430">
        <v>17490</v>
      </c>
      <c r="Q430" t="str">
        <f t="shared" si="12"/>
        <v>Pending</v>
      </c>
      <c r="R430">
        <f t="shared" si="13"/>
        <v>9241</v>
      </c>
    </row>
    <row r="431" spans="1:18">
      <c r="A431">
        <v>430</v>
      </c>
      <c r="B431" t="s">
        <v>1467</v>
      </c>
      <c r="C431" t="s">
        <v>1468</v>
      </c>
      <c r="D431" t="s">
        <v>31</v>
      </c>
      <c r="E431" t="s">
        <v>87</v>
      </c>
      <c r="F431" t="s">
        <v>88</v>
      </c>
      <c r="G431" t="s">
        <v>1469</v>
      </c>
      <c r="H431" t="s">
        <v>27</v>
      </c>
      <c r="I431" t="s">
        <v>306</v>
      </c>
      <c r="J431" t="s">
        <v>95</v>
      </c>
      <c r="K431" t="s">
        <v>96</v>
      </c>
      <c r="L431" t="s">
        <v>21</v>
      </c>
      <c r="M431" t="s">
        <v>45</v>
      </c>
      <c r="N431" t="s">
        <v>71</v>
      </c>
      <c r="O431">
        <v>32108</v>
      </c>
      <c r="P431">
        <v>19518</v>
      </c>
      <c r="Q431" t="str">
        <f t="shared" si="12"/>
        <v>Pending</v>
      </c>
      <c r="R431">
        <f t="shared" si="13"/>
        <v>12590</v>
      </c>
    </row>
    <row r="432" spans="1:18">
      <c r="A432">
        <v>431</v>
      </c>
      <c r="B432" t="s">
        <v>1470</v>
      </c>
      <c r="C432" t="s">
        <v>1471</v>
      </c>
      <c r="D432" t="s">
        <v>40</v>
      </c>
      <c r="E432" t="s">
        <v>152</v>
      </c>
      <c r="F432" t="s">
        <v>74</v>
      </c>
      <c r="G432" t="s">
        <v>1472</v>
      </c>
      <c r="H432" t="s">
        <v>22</v>
      </c>
      <c r="I432" t="s">
        <v>271</v>
      </c>
      <c r="J432" t="s">
        <v>125</v>
      </c>
      <c r="K432" t="s">
        <v>111</v>
      </c>
      <c r="L432" t="s">
        <v>18</v>
      </c>
      <c r="M432" t="s">
        <v>42</v>
      </c>
      <c r="N432" t="s">
        <v>71</v>
      </c>
      <c r="O432">
        <v>23638</v>
      </c>
      <c r="P432">
        <v>22921</v>
      </c>
      <c r="Q432" t="str">
        <f t="shared" si="12"/>
        <v>Pending</v>
      </c>
      <c r="R432">
        <f t="shared" si="13"/>
        <v>717</v>
      </c>
    </row>
    <row r="433" spans="1:18">
      <c r="A433">
        <v>432</v>
      </c>
      <c r="B433" t="s">
        <v>1473</v>
      </c>
      <c r="C433" t="s">
        <v>1474</v>
      </c>
      <c r="D433" t="s">
        <v>26</v>
      </c>
      <c r="E433" t="s">
        <v>65</v>
      </c>
      <c r="F433" t="s">
        <v>66</v>
      </c>
      <c r="G433" t="s">
        <v>1475</v>
      </c>
      <c r="H433" t="s">
        <v>19</v>
      </c>
      <c r="I433" t="s">
        <v>524</v>
      </c>
      <c r="J433" t="s">
        <v>69</v>
      </c>
      <c r="K433" t="s">
        <v>70</v>
      </c>
      <c r="L433" t="s">
        <v>21</v>
      </c>
      <c r="M433" t="s">
        <v>48</v>
      </c>
      <c r="N433" t="s">
        <v>77</v>
      </c>
      <c r="O433">
        <v>15530</v>
      </c>
      <c r="P433">
        <v>7001</v>
      </c>
      <c r="Q433" t="str">
        <f t="shared" si="12"/>
        <v>Pending</v>
      </c>
      <c r="R433">
        <f t="shared" si="13"/>
        <v>8529</v>
      </c>
    </row>
    <row r="434" spans="1:18">
      <c r="A434">
        <v>433</v>
      </c>
      <c r="B434" t="s">
        <v>1476</v>
      </c>
      <c r="C434" t="s">
        <v>1477</v>
      </c>
      <c r="D434" t="s">
        <v>36</v>
      </c>
      <c r="E434" t="s">
        <v>152</v>
      </c>
      <c r="F434" t="s">
        <v>66</v>
      </c>
      <c r="G434" t="s">
        <v>1478</v>
      </c>
      <c r="H434" t="s">
        <v>19</v>
      </c>
      <c r="I434" t="s">
        <v>846</v>
      </c>
      <c r="J434" t="s">
        <v>110</v>
      </c>
      <c r="K434" t="s">
        <v>111</v>
      </c>
      <c r="L434" t="s">
        <v>18</v>
      </c>
      <c r="M434" t="s">
        <v>50</v>
      </c>
      <c r="N434" t="s">
        <v>77</v>
      </c>
      <c r="O434">
        <v>18169</v>
      </c>
      <c r="P434">
        <v>18169</v>
      </c>
      <c r="Q434" t="str">
        <f t="shared" si="12"/>
        <v>Received</v>
      </c>
      <c r="R434">
        <f t="shared" si="13"/>
        <v>0</v>
      </c>
    </row>
    <row r="435" spans="1:18">
      <c r="A435">
        <v>434</v>
      </c>
      <c r="B435" t="s">
        <v>1479</v>
      </c>
      <c r="C435" t="s">
        <v>1480</v>
      </c>
      <c r="D435" t="s">
        <v>20</v>
      </c>
      <c r="E435" t="s">
        <v>80</v>
      </c>
      <c r="F435" t="s">
        <v>99</v>
      </c>
      <c r="G435" t="s">
        <v>1481</v>
      </c>
      <c r="H435" t="s">
        <v>22</v>
      </c>
      <c r="I435" t="s">
        <v>253</v>
      </c>
      <c r="J435" t="s">
        <v>95</v>
      </c>
      <c r="K435" t="s">
        <v>96</v>
      </c>
      <c r="L435" t="s">
        <v>21</v>
      </c>
      <c r="M435" t="s">
        <v>42</v>
      </c>
      <c r="N435" t="s">
        <v>77</v>
      </c>
      <c r="O435">
        <v>42707</v>
      </c>
      <c r="P435">
        <v>20563</v>
      </c>
      <c r="Q435" t="str">
        <f t="shared" si="12"/>
        <v>Pending</v>
      </c>
      <c r="R435">
        <f t="shared" si="13"/>
        <v>22144</v>
      </c>
    </row>
    <row r="436" spans="1:18">
      <c r="A436">
        <v>435</v>
      </c>
      <c r="B436" t="s">
        <v>1482</v>
      </c>
      <c r="C436" t="s">
        <v>1483</v>
      </c>
      <c r="D436" t="s">
        <v>33</v>
      </c>
      <c r="E436" t="s">
        <v>87</v>
      </c>
      <c r="F436" t="s">
        <v>99</v>
      </c>
      <c r="G436" t="s">
        <v>1484</v>
      </c>
      <c r="H436" t="s">
        <v>25</v>
      </c>
      <c r="I436" t="s">
        <v>216</v>
      </c>
      <c r="J436" t="s">
        <v>95</v>
      </c>
      <c r="K436" t="s">
        <v>96</v>
      </c>
      <c r="L436" t="s">
        <v>21</v>
      </c>
      <c r="M436" t="s">
        <v>42</v>
      </c>
      <c r="N436" t="s">
        <v>71</v>
      </c>
      <c r="O436">
        <v>27902</v>
      </c>
      <c r="P436">
        <v>9777</v>
      </c>
      <c r="Q436" t="str">
        <f t="shared" si="12"/>
        <v>Pending</v>
      </c>
      <c r="R436">
        <f t="shared" si="13"/>
        <v>18125</v>
      </c>
    </row>
    <row r="437" spans="1:18">
      <c r="A437">
        <v>436</v>
      </c>
      <c r="B437" t="s">
        <v>1485</v>
      </c>
      <c r="C437" t="s">
        <v>1486</v>
      </c>
      <c r="D437" t="s">
        <v>17</v>
      </c>
      <c r="E437" t="s">
        <v>80</v>
      </c>
      <c r="F437" t="s">
        <v>99</v>
      </c>
      <c r="G437" t="s">
        <v>1487</v>
      </c>
      <c r="H437" t="s">
        <v>27</v>
      </c>
      <c r="I437" t="s">
        <v>1014</v>
      </c>
      <c r="J437" t="s">
        <v>125</v>
      </c>
      <c r="K437" t="s">
        <v>111</v>
      </c>
      <c r="L437" t="s">
        <v>18</v>
      </c>
      <c r="M437" t="s">
        <v>48</v>
      </c>
      <c r="N437" t="s">
        <v>77</v>
      </c>
      <c r="O437">
        <v>11428</v>
      </c>
      <c r="P437">
        <v>11100</v>
      </c>
      <c r="Q437" t="str">
        <f t="shared" si="12"/>
        <v>Pending</v>
      </c>
      <c r="R437">
        <f t="shared" si="13"/>
        <v>328</v>
      </c>
    </row>
    <row r="438" spans="1:18">
      <c r="A438">
        <v>437</v>
      </c>
      <c r="B438" t="s">
        <v>1488</v>
      </c>
      <c r="C438" t="s">
        <v>1489</v>
      </c>
      <c r="D438" t="s">
        <v>43</v>
      </c>
      <c r="E438" t="s">
        <v>152</v>
      </c>
      <c r="F438" t="s">
        <v>88</v>
      </c>
      <c r="G438" t="s">
        <v>1490</v>
      </c>
      <c r="H438" t="s">
        <v>22</v>
      </c>
      <c r="I438" t="s">
        <v>246</v>
      </c>
      <c r="J438" t="s">
        <v>69</v>
      </c>
      <c r="K438" t="s">
        <v>70</v>
      </c>
      <c r="L438" t="s">
        <v>21</v>
      </c>
      <c r="M438" t="s">
        <v>42</v>
      </c>
      <c r="N438" t="s">
        <v>71</v>
      </c>
      <c r="O438">
        <v>13989</v>
      </c>
      <c r="P438">
        <v>7961</v>
      </c>
      <c r="Q438" t="str">
        <f t="shared" si="12"/>
        <v>Pending</v>
      </c>
      <c r="R438">
        <f t="shared" si="13"/>
        <v>6028</v>
      </c>
    </row>
    <row r="439" spans="1:18">
      <c r="A439">
        <v>438</v>
      </c>
      <c r="B439" t="s">
        <v>1491</v>
      </c>
      <c r="C439" t="s">
        <v>1492</v>
      </c>
      <c r="D439" t="s">
        <v>26</v>
      </c>
      <c r="E439" t="s">
        <v>65</v>
      </c>
      <c r="F439" t="s">
        <v>74</v>
      </c>
      <c r="G439" t="s">
        <v>1493</v>
      </c>
      <c r="H439" t="s">
        <v>22</v>
      </c>
      <c r="I439" t="s">
        <v>101</v>
      </c>
      <c r="J439" t="s">
        <v>125</v>
      </c>
      <c r="K439" t="s">
        <v>111</v>
      </c>
      <c r="L439" t="s">
        <v>18</v>
      </c>
      <c r="M439" t="s">
        <v>46</v>
      </c>
      <c r="N439" t="s">
        <v>77</v>
      </c>
      <c r="O439">
        <v>15638</v>
      </c>
      <c r="P439">
        <v>10459</v>
      </c>
      <c r="Q439" t="str">
        <f t="shared" si="12"/>
        <v>Pending</v>
      </c>
      <c r="R439">
        <f t="shared" si="13"/>
        <v>5179</v>
      </c>
    </row>
    <row r="440" spans="1:18">
      <c r="A440">
        <v>439</v>
      </c>
      <c r="B440" t="s">
        <v>1494</v>
      </c>
      <c r="C440" t="s">
        <v>1495</v>
      </c>
      <c r="D440" t="s">
        <v>32</v>
      </c>
      <c r="E440" t="s">
        <v>87</v>
      </c>
      <c r="F440" t="s">
        <v>99</v>
      </c>
      <c r="G440" t="s">
        <v>1496</v>
      </c>
      <c r="H440" t="s">
        <v>25</v>
      </c>
      <c r="I440" t="s">
        <v>162</v>
      </c>
      <c r="J440" t="s">
        <v>69</v>
      </c>
      <c r="K440" t="s">
        <v>70</v>
      </c>
      <c r="L440" t="s">
        <v>21</v>
      </c>
      <c r="M440" t="s">
        <v>46</v>
      </c>
      <c r="N440" t="s">
        <v>71</v>
      </c>
      <c r="O440">
        <v>6830</v>
      </c>
      <c r="P440">
        <v>86</v>
      </c>
      <c r="Q440" t="str">
        <f t="shared" si="12"/>
        <v>Pending</v>
      </c>
      <c r="R440">
        <f t="shared" si="13"/>
        <v>6744</v>
      </c>
    </row>
    <row r="441" spans="1:18">
      <c r="A441">
        <v>440</v>
      </c>
      <c r="B441" t="s">
        <v>1497</v>
      </c>
      <c r="C441" t="s">
        <v>1498</v>
      </c>
      <c r="D441" t="s">
        <v>23</v>
      </c>
      <c r="E441" t="s">
        <v>80</v>
      </c>
      <c r="F441" t="s">
        <v>66</v>
      </c>
      <c r="G441" t="s">
        <v>1499</v>
      </c>
      <c r="H441" t="s">
        <v>29</v>
      </c>
      <c r="I441" t="s">
        <v>531</v>
      </c>
      <c r="J441" t="s">
        <v>110</v>
      </c>
      <c r="K441" t="s">
        <v>111</v>
      </c>
      <c r="L441" t="s">
        <v>18</v>
      </c>
      <c r="M441" t="s">
        <v>50</v>
      </c>
      <c r="N441" t="s">
        <v>71</v>
      </c>
      <c r="O441">
        <v>10667</v>
      </c>
      <c r="P441">
        <v>8163</v>
      </c>
      <c r="Q441" t="str">
        <f t="shared" si="12"/>
        <v>Pending</v>
      </c>
      <c r="R441">
        <f t="shared" si="13"/>
        <v>2504</v>
      </c>
    </row>
    <row r="442" spans="1:18">
      <c r="A442">
        <v>441</v>
      </c>
      <c r="B442" t="s">
        <v>1500</v>
      </c>
      <c r="C442" t="s">
        <v>1501</v>
      </c>
      <c r="D442" t="s">
        <v>26</v>
      </c>
      <c r="E442" t="s">
        <v>65</v>
      </c>
      <c r="F442" t="s">
        <v>88</v>
      </c>
      <c r="G442" t="s">
        <v>1502</v>
      </c>
      <c r="H442" t="s">
        <v>22</v>
      </c>
      <c r="I442" t="s">
        <v>105</v>
      </c>
      <c r="J442" t="s">
        <v>110</v>
      </c>
      <c r="K442" t="s">
        <v>111</v>
      </c>
      <c r="L442" t="s">
        <v>18</v>
      </c>
      <c r="M442" t="s">
        <v>42</v>
      </c>
      <c r="N442" t="s">
        <v>71</v>
      </c>
      <c r="O442">
        <v>28986</v>
      </c>
      <c r="P442">
        <v>1333</v>
      </c>
      <c r="Q442" t="str">
        <f t="shared" si="12"/>
        <v>Pending</v>
      </c>
      <c r="R442">
        <f t="shared" si="13"/>
        <v>27653</v>
      </c>
    </row>
    <row r="443" spans="1:18">
      <c r="A443">
        <v>442</v>
      </c>
      <c r="B443" t="s">
        <v>1503</v>
      </c>
      <c r="C443" t="s">
        <v>1504</v>
      </c>
      <c r="D443" t="s">
        <v>32</v>
      </c>
      <c r="E443" t="s">
        <v>87</v>
      </c>
      <c r="F443" t="s">
        <v>99</v>
      </c>
      <c r="G443" t="s">
        <v>1505</v>
      </c>
      <c r="H443" t="s">
        <v>29</v>
      </c>
      <c r="I443" t="s">
        <v>295</v>
      </c>
      <c r="J443" t="s">
        <v>95</v>
      </c>
      <c r="K443" t="s">
        <v>96</v>
      </c>
      <c r="L443" t="s">
        <v>21</v>
      </c>
      <c r="M443" t="s">
        <v>46</v>
      </c>
      <c r="N443" t="s">
        <v>71</v>
      </c>
      <c r="O443">
        <v>9171</v>
      </c>
      <c r="P443">
        <v>7604</v>
      </c>
      <c r="Q443" t="str">
        <f t="shared" si="12"/>
        <v>Pending</v>
      </c>
      <c r="R443">
        <f t="shared" si="13"/>
        <v>1567</v>
      </c>
    </row>
    <row r="444" spans="1:18">
      <c r="A444">
        <v>443</v>
      </c>
      <c r="B444" t="s">
        <v>1506</v>
      </c>
      <c r="C444" t="s">
        <v>1507</v>
      </c>
      <c r="D444" t="s">
        <v>36</v>
      </c>
      <c r="E444" t="s">
        <v>152</v>
      </c>
      <c r="F444" t="s">
        <v>99</v>
      </c>
      <c r="G444" t="s">
        <v>1508</v>
      </c>
      <c r="H444" t="s">
        <v>22</v>
      </c>
      <c r="I444" t="s">
        <v>716</v>
      </c>
      <c r="J444" t="s">
        <v>95</v>
      </c>
      <c r="K444" t="s">
        <v>96</v>
      </c>
      <c r="L444" t="s">
        <v>21</v>
      </c>
      <c r="M444" t="s">
        <v>50</v>
      </c>
      <c r="N444" t="s">
        <v>84</v>
      </c>
      <c r="O444">
        <v>45146</v>
      </c>
      <c r="P444">
        <v>41396</v>
      </c>
      <c r="Q444" t="str">
        <f t="shared" si="12"/>
        <v>Pending</v>
      </c>
      <c r="R444">
        <f t="shared" si="13"/>
        <v>3750</v>
      </c>
    </row>
    <row r="445" spans="1:18">
      <c r="A445">
        <v>444</v>
      </c>
      <c r="B445" t="s">
        <v>1509</v>
      </c>
      <c r="C445" t="s">
        <v>1510</v>
      </c>
      <c r="D445" t="s">
        <v>33</v>
      </c>
      <c r="E445" t="s">
        <v>87</v>
      </c>
      <c r="F445" t="s">
        <v>66</v>
      </c>
      <c r="G445" t="s">
        <v>1511</v>
      </c>
      <c r="H445" t="s">
        <v>25</v>
      </c>
      <c r="I445" t="s">
        <v>120</v>
      </c>
      <c r="J445" t="s">
        <v>125</v>
      </c>
      <c r="K445" t="s">
        <v>111</v>
      </c>
      <c r="L445" t="s">
        <v>18</v>
      </c>
      <c r="M445" t="s">
        <v>42</v>
      </c>
      <c r="N445" t="s">
        <v>77</v>
      </c>
      <c r="O445">
        <v>39339</v>
      </c>
      <c r="P445">
        <v>993</v>
      </c>
      <c r="Q445" t="str">
        <f t="shared" si="12"/>
        <v>Pending</v>
      </c>
      <c r="R445">
        <f t="shared" si="13"/>
        <v>38346</v>
      </c>
    </row>
    <row r="446" spans="1:18">
      <c r="A446">
        <v>445</v>
      </c>
      <c r="B446" t="s">
        <v>1512</v>
      </c>
      <c r="C446" t="s">
        <v>1513</v>
      </c>
      <c r="D446" t="s">
        <v>17</v>
      </c>
      <c r="E446" t="s">
        <v>80</v>
      </c>
      <c r="F446" t="s">
        <v>74</v>
      </c>
      <c r="G446" t="s">
        <v>1514</v>
      </c>
      <c r="H446" t="s">
        <v>29</v>
      </c>
      <c r="I446" t="s">
        <v>170</v>
      </c>
      <c r="J446" t="s">
        <v>110</v>
      </c>
      <c r="K446" t="s">
        <v>111</v>
      </c>
      <c r="L446" t="s">
        <v>18</v>
      </c>
      <c r="M446" t="s">
        <v>50</v>
      </c>
      <c r="N446" t="s">
        <v>77</v>
      </c>
      <c r="O446">
        <v>35856</v>
      </c>
      <c r="P446">
        <v>18363</v>
      </c>
      <c r="Q446" t="str">
        <f t="shared" si="12"/>
        <v>Pending</v>
      </c>
      <c r="R446">
        <f t="shared" si="13"/>
        <v>17493</v>
      </c>
    </row>
    <row r="447" spans="1:18">
      <c r="A447">
        <v>446</v>
      </c>
      <c r="B447" t="s">
        <v>1515</v>
      </c>
      <c r="C447" t="s">
        <v>1516</v>
      </c>
      <c r="D447" t="s">
        <v>31</v>
      </c>
      <c r="E447" t="s">
        <v>87</v>
      </c>
      <c r="F447" t="s">
        <v>99</v>
      </c>
      <c r="G447" t="s">
        <v>1517</v>
      </c>
      <c r="H447" t="s">
        <v>22</v>
      </c>
      <c r="I447" t="s">
        <v>162</v>
      </c>
      <c r="J447" t="s">
        <v>110</v>
      </c>
      <c r="K447" t="s">
        <v>111</v>
      </c>
      <c r="L447" t="s">
        <v>18</v>
      </c>
      <c r="M447" t="s">
        <v>50</v>
      </c>
      <c r="N447" t="s">
        <v>84</v>
      </c>
      <c r="O447">
        <v>30850</v>
      </c>
      <c r="P447">
        <v>5275</v>
      </c>
      <c r="Q447" t="str">
        <f t="shared" si="12"/>
        <v>Pending</v>
      </c>
      <c r="R447">
        <f t="shared" si="13"/>
        <v>25575</v>
      </c>
    </row>
    <row r="448" spans="1:18">
      <c r="A448">
        <v>447</v>
      </c>
      <c r="B448" t="s">
        <v>1518</v>
      </c>
      <c r="C448" t="s">
        <v>1519</v>
      </c>
      <c r="D448" t="s">
        <v>31</v>
      </c>
      <c r="E448" t="s">
        <v>87</v>
      </c>
      <c r="F448" t="s">
        <v>88</v>
      </c>
      <c r="G448" t="s">
        <v>1520</v>
      </c>
      <c r="H448" t="s">
        <v>29</v>
      </c>
      <c r="I448" t="s">
        <v>821</v>
      </c>
      <c r="J448" t="s">
        <v>110</v>
      </c>
      <c r="K448" t="s">
        <v>111</v>
      </c>
      <c r="L448" t="s">
        <v>18</v>
      </c>
      <c r="M448" t="s">
        <v>48</v>
      </c>
      <c r="N448" t="s">
        <v>77</v>
      </c>
      <c r="O448">
        <v>13351</v>
      </c>
      <c r="P448">
        <v>13351</v>
      </c>
      <c r="Q448" t="str">
        <f t="shared" si="12"/>
        <v>Received</v>
      </c>
      <c r="R448">
        <f t="shared" si="13"/>
        <v>0</v>
      </c>
    </row>
    <row r="449" spans="1:18">
      <c r="A449">
        <v>448</v>
      </c>
      <c r="B449" t="s">
        <v>1521</v>
      </c>
      <c r="C449" t="s">
        <v>1522</v>
      </c>
      <c r="D449" t="s">
        <v>26</v>
      </c>
      <c r="E449" t="s">
        <v>65</v>
      </c>
      <c r="F449" t="s">
        <v>66</v>
      </c>
      <c r="G449" t="s">
        <v>1523</v>
      </c>
      <c r="H449" t="s">
        <v>27</v>
      </c>
      <c r="I449" t="s">
        <v>227</v>
      </c>
      <c r="J449" t="s">
        <v>110</v>
      </c>
      <c r="K449" t="s">
        <v>111</v>
      </c>
      <c r="L449" t="s">
        <v>18</v>
      </c>
      <c r="M449" t="s">
        <v>42</v>
      </c>
      <c r="N449" t="s">
        <v>84</v>
      </c>
      <c r="O449">
        <v>42831</v>
      </c>
      <c r="P449">
        <v>22478</v>
      </c>
      <c r="Q449" t="str">
        <f t="shared" si="12"/>
        <v>Pending</v>
      </c>
      <c r="R449">
        <f t="shared" si="13"/>
        <v>20353</v>
      </c>
    </row>
    <row r="450" spans="1:18">
      <c r="A450">
        <v>449</v>
      </c>
      <c r="B450" t="s">
        <v>1524</v>
      </c>
      <c r="C450" t="s">
        <v>1525</v>
      </c>
      <c r="D450" t="s">
        <v>17</v>
      </c>
      <c r="E450" t="s">
        <v>80</v>
      </c>
      <c r="F450" t="s">
        <v>118</v>
      </c>
      <c r="G450" t="s">
        <v>1526</v>
      </c>
      <c r="H450" t="s">
        <v>22</v>
      </c>
      <c r="I450" t="s">
        <v>170</v>
      </c>
      <c r="J450" t="s">
        <v>125</v>
      </c>
      <c r="K450" t="s">
        <v>111</v>
      </c>
      <c r="L450" t="s">
        <v>18</v>
      </c>
      <c r="M450" t="s">
        <v>50</v>
      </c>
      <c r="N450" t="s">
        <v>84</v>
      </c>
      <c r="O450">
        <v>16172</v>
      </c>
      <c r="P450">
        <v>12029</v>
      </c>
      <c r="Q450" t="str">
        <f t="shared" ref="Q450:Q513" si="14">IF(R450=0,"Received","Pending")</f>
        <v>Pending</v>
      </c>
      <c r="R450">
        <f t="shared" ref="R450:R501" si="15">O450-P450</f>
        <v>4143</v>
      </c>
    </row>
    <row r="451" spans="1:18">
      <c r="A451">
        <v>450</v>
      </c>
      <c r="B451" t="s">
        <v>1527</v>
      </c>
      <c r="C451" t="s">
        <v>1528</v>
      </c>
      <c r="D451" t="s">
        <v>28</v>
      </c>
      <c r="E451" t="s">
        <v>65</v>
      </c>
      <c r="F451" t="s">
        <v>99</v>
      </c>
      <c r="G451" t="s">
        <v>1529</v>
      </c>
      <c r="H451" t="s">
        <v>27</v>
      </c>
      <c r="I451" t="s">
        <v>253</v>
      </c>
      <c r="J451" t="s">
        <v>95</v>
      </c>
      <c r="K451" t="s">
        <v>96</v>
      </c>
      <c r="L451" t="s">
        <v>21</v>
      </c>
      <c r="M451" t="s">
        <v>45</v>
      </c>
      <c r="N451" t="s">
        <v>77</v>
      </c>
      <c r="O451">
        <v>43422</v>
      </c>
      <c r="P451">
        <v>1391</v>
      </c>
      <c r="Q451" t="str">
        <f t="shared" si="14"/>
        <v>Pending</v>
      </c>
      <c r="R451">
        <f t="shared" si="15"/>
        <v>42031</v>
      </c>
    </row>
    <row r="452" spans="1:18">
      <c r="A452">
        <v>451</v>
      </c>
      <c r="B452" t="s">
        <v>1530</v>
      </c>
      <c r="C452" t="s">
        <v>1531</v>
      </c>
      <c r="D452" t="s">
        <v>17</v>
      </c>
      <c r="E452" t="s">
        <v>80</v>
      </c>
      <c r="F452" t="s">
        <v>99</v>
      </c>
      <c r="G452" t="s">
        <v>1532</v>
      </c>
      <c r="H452" t="s">
        <v>29</v>
      </c>
      <c r="I452" t="s">
        <v>194</v>
      </c>
      <c r="J452" t="s">
        <v>95</v>
      </c>
      <c r="K452" t="s">
        <v>96</v>
      </c>
      <c r="L452" t="s">
        <v>21</v>
      </c>
      <c r="M452" t="s">
        <v>48</v>
      </c>
      <c r="N452" t="s">
        <v>77</v>
      </c>
      <c r="O452">
        <v>24092</v>
      </c>
      <c r="P452">
        <v>15833</v>
      </c>
      <c r="Q452" t="str">
        <f t="shared" si="14"/>
        <v>Pending</v>
      </c>
      <c r="R452">
        <f t="shared" si="15"/>
        <v>8259</v>
      </c>
    </row>
    <row r="453" spans="1:18">
      <c r="A453">
        <v>452</v>
      </c>
      <c r="B453" t="s">
        <v>1533</v>
      </c>
      <c r="C453" t="s">
        <v>1534</v>
      </c>
      <c r="D453" t="s">
        <v>26</v>
      </c>
      <c r="E453" t="s">
        <v>65</v>
      </c>
      <c r="F453" t="s">
        <v>66</v>
      </c>
      <c r="G453" t="s">
        <v>1535</v>
      </c>
      <c r="H453" t="s">
        <v>25</v>
      </c>
      <c r="I453" t="s">
        <v>105</v>
      </c>
      <c r="J453" t="s">
        <v>95</v>
      </c>
      <c r="K453" t="s">
        <v>96</v>
      </c>
      <c r="L453" t="s">
        <v>21</v>
      </c>
      <c r="M453" t="s">
        <v>48</v>
      </c>
      <c r="N453" t="s">
        <v>71</v>
      </c>
      <c r="O453">
        <v>27092</v>
      </c>
      <c r="P453">
        <v>156</v>
      </c>
      <c r="Q453" t="str">
        <f t="shared" si="14"/>
        <v>Pending</v>
      </c>
      <c r="R453">
        <f t="shared" si="15"/>
        <v>26936</v>
      </c>
    </row>
    <row r="454" spans="1:18">
      <c r="A454">
        <v>453</v>
      </c>
      <c r="B454" t="s">
        <v>1536</v>
      </c>
      <c r="C454" t="s">
        <v>1537</v>
      </c>
      <c r="D454" t="s">
        <v>26</v>
      </c>
      <c r="E454" t="s">
        <v>65</v>
      </c>
      <c r="F454" t="s">
        <v>99</v>
      </c>
      <c r="G454" t="s">
        <v>1538</v>
      </c>
      <c r="H454" t="s">
        <v>22</v>
      </c>
      <c r="I454" t="s">
        <v>1539</v>
      </c>
      <c r="J454" t="s">
        <v>69</v>
      </c>
      <c r="K454" t="s">
        <v>70</v>
      </c>
      <c r="L454" t="s">
        <v>21</v>
      </c>
      <c r="M454" t="s">
        <v>48</v>
      </c>
      <c r="N454" t="s">
        <v>77</v>
      </c>
      <c r="O454">
        <v>22111</v>
      </c>
      <c r="P454">
        <v>384</v>
      </c>
      <c r="Q454" t="str">
        <f t="shared" si="14"/>
        <v>Pending</v>
      </c>
      <c r="R454">
        <f t="shared" si="15"/>
        <v>21727</v>
      </c>
    </row>
    <row r="455" spans="1:18">
      <c r="A455">
        <v>454</v>
      </c>
      <c r="B455" t="s">
        <v>1540</v>
      </c>
      <c r="C455" t="s">
        <v>1541</v>
      </c>
      <c r="D455" t="s">
        <v>28</v>
      </c>
      <c r="E455" t="s">
        <v>65</v>
      </c>
      <c r="F455" t="s">
        <v>118</v>
      </c>
      <c r="G455" t="s">
        <v>1542</v>
      </c>
      <c r="H455" t="s">
        <v>22</v>
      </c>
      <c r="I455" t="s">
        <v>267</v>
      </c>
      <c r="J455" t="s">
        <v>83</v>
      </c>
      <c r="K455" t="s">
        <v>83</v>
      </c>
      <c r="L455" t="s">
        <v>24</v>
      </c>
      <c r="M455" t="s">
        <v>45</v>
      </c>
      <c r="N455" t="s">
        <v>84</v>
      </c>
      <c r="O455">
        <v>36989</v>
      </c>
      <c r="P455">
        <v>31988</v>
      </c>
      <c r="Q455" t="str">
        <f t="shared" si="14"/>
        <v>Pending</v>
      </c>
      <c r="R455">
        <f t="shared" si="15"/>
        <v>5001</v>
      </c>
    </row>
    <row r="456" spans="1:18">
      <c r="A456">
        <v>455</v>
      </c>
      <c r="B456" t="s">
        <v>1543</v>
      </c>
      <c r="C456" t="s">
        <v>1544</v>
      </c>
      <c r="D456" t="s">
        <v>23</v>
      </c>
      <c r="E456" t="s">
        <v>80</v>
      </c>
      <c r="F456" t="s">
        <v>66</v>
      </c>
      <c r="G456" t="s">
        <v>1545</v>
      </c>
      <c r="H456" t="s">
        <v>27</v>
      </c>
      <c r="I456" t="s">
        <v>339</v>
      </c>
      <c r="J456" t="s">
        <v>83</v>
      </c>
      <c r="K456" t="s">
        <v>83</v>
      </c>
      <c r="L456" t="s">
        <v>24</v>
      </c>
      <c r="M456" t="s">
        <v>50</v>
      </c>
      <c r="N456" t="s">
        <v>71</v>
      </c>
      <c r="O456">
        <v>21444</v>
      </c>
      <c r="P456">
        <v>2330</v>
      </c>
      <c r="Q456" t="str">
        <f t="shared" si="14"/>
        <v>Pending</v>
      </c>
      <c r="R456">
        <f t="shared" si="15"/>
        <v>19114</v>
      </c>
    </row>
    <row r="457" spans="1:18">
      <c r="A457">
        <v>456</v>
      </c>
      <c r="B457" t="s">
        <v>1546</v>
      </c>
      <c r="C457" t="s">
        <v>1547</v>
      </c>
      <c r="D457" t="s">
        <v>43</v>
      </c>
      <c r="E457" t="s">
        <v>152</v>
      </c>
      <c r="F457" t="s">
        <v>118</v>
      </c>
      <c r="G457" t="s">
        <v>1548</v>
      </c>
      <c r="H457" t="s">
        <v>22</v>
      </c>
      <c r="I457" t="s">
        <v>1014</v>
      </c>
      <c r="J457" t="s">
        <v>95</v>
      </c>
      <c r="K457" t="s">
        <v>96</v>
      </c>
      <c r="L457" t="s">
        <v>21</v>
      </c>
      <c r="M457" t="s">
        <v>42</v>
      </c>
      <c r="N457" t="s">
        <v>84</v>
      </c>
      <c r="O457">
        <v>17924</v>
      </c>
      <c r="P457">
        <v>7029</v>
      </c>
      <c r="Q457" t="str">
        <f t="shared" si="14"/>
        <v>Pending</v>
      </c>
      <c r="R457">
        <f t="shared" si="15"/>
        <v>10895</v>
      </c>
    </row>
    <row r="458" spans="1:18">
      <c r="A458">
        <v>457</v>
      </c>
      <c r="B458" t="s">
        <v>1549</v>
      </c>
      <c r="C458" t="s">
        <v>1550</v>
      </c>
      <c r="D458" t="s">
        <v>26</v>
      </c>
      <c r="E458" t="s">
        <v>65</v>
      </c>
      <c r="F458" t="s">
        <v>99</v>
      </c>
      <c r="G458" t="s">
        <v>1551</v>
      </c>
      <c r="H458" t="s">
        <v>27</v>
      </c>
      <c r="I458" t="s">
        <v>109</v>
      </c>
      <c r="J458" t="s">
        <v>83</v>
      </c>
      <c r="K458" t="s">
        <v>83</v>
      </c>
      <c r="L458" t="s">
        <v>24</v>
      </c>
      <c r="M458" t="s">
        <v>50</v>
      </c>
      <c r="N458" t="s">
        <v>71</v>
      </c>
      <c r="O458">
        <v>43266</v>
      </c>
      <c r="P458">
        <v>42158</v>
      </c>
      <c r="Q458" t="str">
        <f t="shared" si="14"/>
        <v>Pending</v>
      </c>
      <c r="R458">
        <f t="shared" si="15"/>
        <v>1108</v>
      </c>
    </row>
    <row r="459" spans="1:18">
      <c r="A459">
        <v>458</v>
      </c>
      <c r="B459" t="s">
        <v>1552</v>
      </c>
      <c r="C459" t="s">
        <v>1553</v>
      </c>
      <c r="D459" t="s">
        <v>33</v>
      </c>
      <c r="E459" t="s">
        <v>87</v>
      </c>
      <c r="F459" t="s">
        <v>118</v>
      </c>
      <c r="G459" t="s">
        <v>1554</v>
      </c>
      <c r="H459" t="s">
        <v>25</v>
      </c>
      <c r="I459" t="s">
        <v>599</v>
      </c>
      <c r="J459" t="s">
        <v>83</v>
      </c>
      <c r="K459" t="s">
        <v>83</v>
      </c>
      <c r="L459" t="s">
        <v>24</v>
      </c>
      <c r="M459" t="s">
        <v>50</v>
      </c>
      <c r="N459" t="s">
        <v>71</v>
      </c>
      <c r="O459">
        <v>29238</v>
      </c>
      <c r="P459">
        <v>26203</v>
      </c>
      <c r="Q459" t="str">
        <f t="shared" si="14"/>
        <v>Pending</v>
      </c>
      <c r="R459">
        <f t="shared" si="15"/>
        <v>3035</v>
      </c>
    </row>
    <row r="460" spans="1:18">
      <c r="A460">
        <v>459</v>
      </c>
      <c r="B460" t="s">
        <v>1555</v>
      </c>
      <c r="C460" t="s">
        <v>1556</v>
      </c>
      <c r="D460" t="s">
        <v>43</v>
      </c>
      <c r="E460" t="s">
        <v>152</v>
      </c>
      <c r="F460" t="s">
        <v>118</v>
      </c>
      <c r="G460" t="s">
        <v>1557</v>
      </c>
      <c r="H460" t="s">
        <v>27</v>
      </c>
      <c r="I460" t="s">
        <v>524</v>
      </c>
      <c r="J460" t="s">
        <v>69</v>
      </c>
      <c r="K460" t="s">
        <v>70</v>
      </c>
      <c r="L460" t="s">
        <v>21</v>
      </c>
      <c r="M460" t="s">
        <v>42</v>
      </c>
      <c r="N460" t="s">
        <v>84</v>
      </c>
      <c r="O460">
        <v>29379</v>
      </c>
      <c r="P460">
        <v>25752</v>
      </c>
      <c r="Q460" t="str">
        <f t="shared" si="14"/>
        <v>Pending</v>
      </c>
      <c r="R460">
        <f t="shared" si="15"/>
        <v>3627</v>
      </c>
    </row>
    <row r="461" spans="1:18">
      <c r="A461">
        <v>460</v>
      </c>
      <c r="B461" t="s">
        <v>1558</v>
      </c>
      <c r="C461" t="s">
        <v>1559</v>
      </c>
      <c r="D461" t="s">
        <v>23</v>
      </c>
      <c r="E461" t="s">
        <v>80</v>
      </c>
      <c r="F461" t="s">
        <v>88</v>
      </c>
      <c r="G461" t="s">
        <v>1560</v>
      </c>
      <c r="H461" t="s">
        <v>29</v>
      </c>
      <c r="I461" t="s">
        <v>223</v>
      </c>
      <c r="J461" t="s">
        <v>110</v>
      </c>
      <c r="K461" t="s">
        <v>111</v>
      </c>
      <c r="L461" t="s">
        <v>18</v>
      </c>
      <c r="M461" t="s">
        <v>50</v>
      </c>
      <c r="N461" t="s">
        <v>84</v>
      </c>
      <c r="O461">
        <v>8873</v>
      </c>
      <c r="P461">
        <v>6481</v>
      </c>
      <c r="Q461" t="str">
        <f t="shared" si="14"/>
        <v>Pending</v>
      </c>
      <c r="R461">
        <f t="shared" si="15"/>
        <v>2392</v>
      </c>
    </row>
    <row r="462" spans="1:18">
      <c r="A462">
        <v>461</v>
      </c>
      <c r="B462" t="s">
        <v>1561</v>
      </c>
      <c r="C462" t="s">
        <v>1562</v>
      </c>
      <c r="D462" t="s">
        <v>26</v>
      </c>
      <c r="E462" t="s">
        <v>65</v>
      </c>
      <c r="F462" t="s">
        <v>99</v>
      </c>
      <c r="G462" t="s">
        <v>1563</v>
      </c>
      <c r="H462" t="s">
        <v>27</v>
      </c>
      <c r="I462" t="s">
        <v>94</v>
      </c>
      <c r="J462" t="s">
        <v>69</v>
      </c>
      <c r="K462" t="s">
        <v>70</v>
      </c>
      <c r="L462" t="s">
        <v>21</v>
      </c>
      <c r="M462" t="s">
        <v>48</v>
      </c>
      <c r="N462" t="s">
        <v>71</v>
      </c>
      <c r="O462">
        <v>34248</v>
      </c>
      <c r="P462">
        <v>23234</v>
      </c>
      <c r="Q462" t="str">
        <f t="shared" si="14"/>
        <v>Pending</v>
      </c>
      <c r="R462">
        <f t="shared" si="15"/>
        <v>11014</v>
      </c>
    </row>
    <row r="463" spans="1:18">
      <c r="A463">
        <v>462</v>
      </c>
      <c r="B463" t="s">
        <v>1564</v>
      </c>
      <c r="C463" t="s">
        <v>1565</v>
      </c>
      <c r="D463" t="s">
        <v>31</v>
      </c>
      <c r="E463" t="s">
        <v>87</v>
      </c>
      <c r="F463" t="s">
        <v>118</v>
      </c>
      <c r="G463" t="s">
        <v>1566</v>
      </c>
      <c r="H463" t="s">
        <v>25</v>
      </c>
      <c r="I463" t="s">
        <v>306</v>
      </c>
      <c r="J463" t="s">
        <v>125</v>
      </c>
      <c r="K463" t="s">
        <v>111</v>
      </c>
      <c r="L463" t="s">
        <v>18</v>
      </c>
      <c r="M463" t="s">
        <v>42</v>
      </c>
      <c r="N463" t="s">
        <v>71</v>
      </c>
      <c r="O463">
        <v>48481</v>
      </c>
      <c r="P463">
        <v>36571</v>
      </c>
      <c r="Q463" t="str">
        <f t="shared" si="14"/>
        <v>Pending</v>
      </c>
      <c r="R463">
        <f t="shared" si="15"/>
        <v>11910</v>
      </c>
    </row>
    <row r="464" spans="1:18">
      <c r="A464">
        <v>463</v>
      </c>
      <c r="B464" t="s">
        <v>1567</v>
      </c>
      <c r="C464" t="s">
        <v>1568</v>
      </c>
      <c r="D464" t="s">
        <v>33</v>
      </c>
      <c r="E464" t="s">
        <v>87</v>
      </c>
      <c r="F464" t="s">
        <v>74</v>
      </c>
      <c r="G464" t="s">
        <v>1569</v>
      </c>
      <c r="H464" t="s">
        <v>19</v>
      </c>
      <c r="I464" t="s">
        <v>94</v>
      </c>
      <c r="J464" t="s">
        <v>110</v>
      </c>
      <c r="K464" t="s">
        <v>111</v>
      </c>
      <c r="L464" t="s">
        <v>18</v>
      </c>
      <c r="M464" t="s">
        <v>45</v>
      </c>
      <c r="N464" t="s">
        <v>71</v>
      </c>
      <c r="O464">
        <v>46294</v>
      </c>
      <c r="P464">
        <v>7285</v>
      </c>
      <c r="Q464" t="str">
        <f t="shared" si="14"/>
        <v>Pending</v>
      </c>
      <c r="R464">
        <f t="shared" si="15"/>
        <v>39009</v>
      </c>
    </row>
    <row r="465" spans="1:18">
      <c r="A465">
        <v>464</v>
      </c>
      <c r="B465" t="s">
        <v>1570</v>
      </c>
      <c r="C465" t="s">
        <v>1571</v>
      </c>
      <c r="D465" t="s">
        <v>26</v>
      </c>
      <c r="E465" t="s">
        <v>65</v>
      </c>
      <c r="F465" t="s">
        <v>99</v>
      </c>
      <c r="G465" t="s">
        <v>1572</v>
      </c>
      <c r="H465" t="s">
        <v>19</v>
      </c>
      <c r="I465" t="s">
        <v>186</v>
      </c>
      <c r="J465" t="s">
        <v>125</v>
      </c>
      <c r="K465" t="s">
        <v>111</v>
      </c>
      <c r="L465" t="s">
        <v>18</v>
      </c>
      <c r="M465" t="s">
        <v>46</v>
      </c>
      <c r="N465" t="s">
        <v>84</v>
      </c>
      <c r="O465">
        <v>6138</v>
      </c>
      <c r="P465">
        <v>6138</v>
      </c>
      <c r="Q465" t="str">
        <f t="shared" si="14"/>
        <v>Received</v>
      </c>
      <c r="R465">
        <f t="shared" si="15"/>
        <v>0</v>
      </c>
    </row>
    <row r="466" spans="1:18">
      <c r="A466">
        <v>465</v>
      </c>
      <c r="B466" t="s">
        <v>1573</v>
      </c>
      <c r="C466" t="s">
        <v>1574</v>
      </c>
      <c r="D466" t="s">
        <v>43</v>
      </c>
      <c r="E466" t="s">
        <v>152</v>
      </c>
      <c r="F466" t="s">
        <v>99</v>
      </c>
      <c r="G466" t="s">
        <v>1575</v>
      </c>
      <c r="H466" t="s">
        <v>25</v>
      </c>
      <c r="I466" t="s">
        <v>458</v>
      </c>
      <c r="J466" t="s">
        <v>125</v>
      </c>
      <c r="K466" t="s">
        <v>111</v>
      </c>
      <c r="L466" t="s">
        <v>18</v>
      </c>
      <c r="M466" t="s">
        <v>46</v>
      </c>
      <c r="N466" t="s">
        <v>71</v>
      </c>
      <c r="O466">
        <v>34238</v>
      </c>
      <c r="P466">
        <v>30939</v>
      </c>
      <c r="Q466" t="str">
        <f t="shared" si="14"/>
        <v>Pending</v>
      </c>
      <c r="R466">
        <f t="shared" si="15"/>
        <v>3299</v>
      </c>
    </row>
    <row r="467" spans="1:18">
      <c r="A467">
        <v>466</v>
      </c>
      <c r="B467" t="s">
        <v>1576</v>
      </c>
      <c r="C467" t="s">
        <v>1577</v>
      </c>
      <c r="D467" t="s">
        <v>28</v>
      </c>
      <c r="E467" t="s">
        <v>65</v>
      </c>
      <c r="F467" t="s">
        <v>66</v>
      </c>
      <c r="G467" t="s">
        <v>1578</v>
      </c>
      <c r="H467" t="s">
        <v>22</v>
      </c>
      <c r="I467" t="s">
        <v>154</v>
      </c>
      <c r="J467" t="s">
        <v>69</v>
      </c>
      <c r="K467" t="s">
        <v>70</v>
      </c>
      <c r="L467" t="s">
        <v>21</v>
      </c>
      <c r="M467" t="s">
        <v>50</v>
      </c>
      <c r="N467" t="s">
        <v>84</v>
      </c>
      <c r="O467">
        <v>7802</v>
      </c>
      <c r="P467">
        <v>4168</v>
      </c>
      <c r="Q467" t="str">
        <f t="shared" si="14"/>
        <v>Pending</v>
      </c>
      <c r="R467">
        <f t="shared" si="15"/>
        <v>3634</v>
      </c>
    </row>
    <row r="468" spans="1:18">
      <c r="A468">
        <v>467</v>
      </c>
      <c r="B468" t="s">
        <v>1579</v>
      </c>
      <c r="C468" t="s">
        <v>1580</v>
      </c>
      <c r="D468" t="s">
        <v>36</v>
      </c>
      <c r="E468" t="s">
        <v>152</v>
      </c>
      <c r="F468" t="s">
        <v>74</v>
      </c>
      <c r="G468" t="s">
        <v>1581</v>
      </c>
      <c r="H468" t="s">
        <v>22</v>
      </c>
      <c r="I468" t="s">
        <v>105</v>
      </c>
      <c r="J468" t="s">
        <v>83</v>
      </c>
      <c r="K468" t="s">
        <v>83</v>
      </c>
      <c r="L468" t="s">
        <v>24</v>
      </c>
      <c r="M468" t="s">
        <v>50</v>
      </c>
      <c r="N468" t="s">
        <v>77</v>
      </c>
      <c r="O468">
        <v>19024</v>
      </c>
      <c r="P468">
        <v>16160</v>
      </c>
      <c r="Q468" t="str">
        <f t="shared" si="14"/>
        <v>Pending</v>
      </c>
      <c r="R468">
        <f t="shared" si="15"/>
        <v>2864</v>
      </c>
    </row>
    <row r="469" spans="1:18">
      <c r="A469">
        <v>468</v>
      </c>
      <c r="B469" t="s">
        <v>1582</v>
      </c>
      <c r="C469" t="s">
        <v>1583</v>
      </c>
      <c r="D469" t="s">
        <v>26</v>
      </c>
      <c r="E469" t="s">
        <v>65</v>
      </c>
      <c r="F469" t="s">
        <v>118</v>
      </c>
      <c r="G469" t="s">
        <v>1584</v>
      </c>
      <c r="H469" t="s">
        <v>22</v>
      </c>
      <c r="I469" t="s">
        <v>101</v>
      </c>
      <c r="J469" t="s">
        <v>110</v>
      </c>
      <c r="K469" t="s">
        <v>111</v>
      </c>
      <c r="L469" t="s">
        <v>18</v>
      </c>
      <c r="M469" t="s">
        <v>42</v>
      </c>
      <c r="N469" t="s">
        <v>77</v>
      </c>
      <c r="O469">
        <v>24453</v>
      </c>
      <c r="P469">
        <v>11526</v>
      </c>
      <c r="Q469" t="str">
        <f t="shared" si="14"/>
        <v>Pending</v>
      </c>
      <c r="R469">
        <f t="shared" si="15"/>
        <v>12927</v>
      </c>
    </row>
    <row r="470" spans="1:18">
      <c r="A470">
        <v>469</v>
      </c>
      <c r="B470" t="s">
        <v>1585</v>
      </c>
      <c r="C470" t="s">
        <v>1586</v>
      </c>
      <c r="D470" t="s">
        <v>23</v>
      </c>
      <c r="E470" t="s">
        <v>80</v>
      </c>
      <c r="F470" t="s">
        <v>66</v>
      </c>
      <c r="G470" t="s">
        <v>1587</v>
      </c>
      <c r="H470" t="s">
        <v>19</v>
      </c>
      <c r="I470" t="s">
        <v>531</v>
      </c>
      <c r="J470" t="s">
        <v>83</v>
      </c>
      <c r="K470" t="s">
        <v>83</v>
      </c>
      <c r="L470" t="s">
        <v>24</v>
      </c>
      <c r="M470" t="s">
        <v>50</v>
      </c>
      <c r="N470" t="s">
        <v>71</v>
      </c>
      <c r="O470">
        <v>41949</v>
      </c>
      <c r="P470">
        <v>11976</v>
      </c>
      <c r="Q470" t="str">
        <f t="shared" si="14"/>
        <v>Pending</v>
      </c>
      <c r="R470">
        <f t="shared" si="15"/>
        <v>29973</v>
      </c>
    </row>
    <row r="471" spans="1:18">
      <c r="A471">
        <v>470</v>
      </c>
      <c r="B471" t="s">
        <v>1588</v>
      </c>
      <c r="C471" t="s">
        <v>1589</v>
      </c>
      <c r="D471" t="s">
        <v>40</v>
      </c>
      <c r="E471" t="s">
        <v>152</v>
      </c>
      <c r="F471" t="s">
        <v>74</v>
      </c>
      <c r="G471" t="s">
        <v>1590</v>
      </c>
      <c r="H471" t="s">
        <v>27</v>
      </c>
      <c r="I471" t="s">
        <v>912</v>
      </c>
      <c r="J471" t="s">
        <v>110</v>
      </c>
      <c r="K471" t="s">
        <v>111</v>
      </c>
      <c r="L471" t="s">
        <v>18</v>
      </c>
      <c r="M471" t="s">
        <v>50</v>
      </c>
      <c r="N471" t="s">
        <v>77</v>
      </c>
      <c r="O471">
        <v>36414</v>
      </c>
      <c r="P471">
        <v>35056</v>
      </c>
      <c r="Q471" t="str">
        <f t="shared" si="14"/>
        <v>Pending</v>
      </c>
      <c r="R471">
        <f t="shared" si="15"/>
        <v>1358</v>
      </c>
    </row>
    <row r="472" spans="1:18">
      <c r="A472">
        <v>471</v>
      </c>
      <c r="B472" t="s">
        <v>1591</v>
      </c>
      <c r="C472" t="s">
        <v>1592</v>
      </c>
      <c r="D472" t="s">
        <v>17</v>
      </c>
      <c r="E472" t="s">
        <v>80</v>
      </c>
      <c r="F472" t="s">
        <v>88</v>
      </c>
      <c r="G472" t="s">
        <v>1593</v>
      </c>
      <c r="H472" t="s">
        <v>27</v>
      </c>
      <c r="I472" t="s">
        <v>599</v>
      </c>
      <c r="J472" t="s">
        <v>83</v>
      </c>
      <c r="K472" t="s">
        <v>83</v>
      </c>
      <c r="L472" t="s">
        <v>24</v>
      </c>
      <c r="M472" t="s">
        <v>46</v>
      </c>
      <c r="N472" t="s">
        <v>71</v>
      </c>
      <c r="O472">
        <v>28511</v>
      </c>
      <c r="P472">
        <v>18802</v>
      </c>
      <c r="Q472" t="str">
        <f t="shared" si="14"/>
        <v>Pending</v>
      </c>
      <c r="R472">
        <f t="shared" si="15"/>
        <v>9709</v>
      </c>
    </row>
    <row r="473" spans="1:18">
      <c r="A473">
        <v>472</v>
      </c>
      <c r="B473" t="s">
        <v>1594</v>
      </c>
      <c r="C473" t="s">
        <v>1595</v>
      </c>
      <c r="D473" t="s">
        <v>30</v>
      </c>
      <c r="E473" t="s">
        <v>65</v>
      </c>
      <c r="F473" t="s">
        <v>74</v>
      </c>
      <c r="G473" t="s">
        <v>1596</v>
      </c>
      <c r="H473" t="s">
        <v>19</v>
      </c>
      <c r="I473" t="s">
        <v>585</v>
      </c>
      <c r="J473" t="s">
        <v>110</v>
      </c>
      <c r="K473" t="s">
        <v>111</v>
      </c>
      <c r="L473" t="s">
        <v>18</v>
      </c>
      <c r="M473" t="s">
        <v>46</v>
      </c>
      <c r="N473" t="s">
        <v>77</v>
      </c>
      <c r="O473">
        <v>47948</v>
      </c>
      <c r="P473">
        <v>575</v>
      </c>
      <c r="Q473" t="str">
        <f t="shared" si="14"/>
        <v>Pending</v>
      </c>
      <c r="R473">
        <f t="shared" si="15"/>
        <v>47373</v>
      </c>
    </row>
    <row r="474" spans="1:18">
      <c r="A474">
        <v>473</v>
      </c>
      <c r="B474" t="s">
        <v>1597</v>
      </c>
      <c r="C474" t="s">
        <v>1598</v>
      </c>
      <c r="D474" t="s">
        <v>26</v>
      </c>
      <c r="E474" t="s">
        <v>65</v>
      </c>
      <c r="F474" t="s">
        <v>99</v>
      </c>
      <c r="G474" t="s">
        <v>1599</v>
      </c>
      <c r="H474" t="s">
        <v>27</v>
      </c>
      <c r="I474" t="s">
        <v>585</v>
      </c>
      <c r="J474" t="s">
        <v>110</v>
      </c>
      <c r="K474" t="s">
        <v>111</v>
      </c>
      <c r="L474" t="s">
        <v>18</v>
      </c>
      <c r="M474" t="s">
        <v>46</v>
      </c>
      <c r="N474" t="s">
        <v>84</v>
      </c>
      <c r="O474">
        <v>6967</v>
      </c>
      <c r="P474">
        <v>6289</v>
      </c>
      <c r="Q474" t="str">
        <f t="shared" si="14"/>
        <v>Pending</v>
      </c>
      <c r="R474">
        <f t="shared" si="15"/>
        <v>678</v>
      </c>
    </row>
    <row r="475" spans="1:18">
      <c r="A475">
        <v>474</v>
      </c>
      <c r="B475" t="s">
        <v>1600</v>
      </c>
      <c r="C475" t="s">
        <v>1601</v>
      </c>
      <c r="D475" t="s">
        <v>17</v>
      </c>
      <c r="E475" t="s">
        <v>80</v>
      </c>
      <c r="F475" t="s">
        <v>66</v>
      </c>
      <c r="G475" t="s">
        <v>1602</v>
      </c>
      <c r="H475" t="s">
        <v>19</v>
      </c>
      <c r="I475" t="s">
        <v>238</v>
      </c>
      <c r="J475" t="s">
        <v>125</v>
      </c>
      <c r="K475" t="s">
        <v>111</v>
      </c>
      <c r="L475" t="s">
        <v>18</v>
      </c>
      <c r="M475" t="s">
        <v>45</v>
      </c>
      <c r="N475" t="s">
        <v>71</v>
      </c>
      <c r="O475">
        <v>17498</v>
      </c>
      <c r="P475">
        <v>17498</v>
      </c>
      <c r="Q475" t="str">
        <f t="shared" si="14"/>
        <v>Received</v>
      </c>
      <c r="R475">
        <f t="shared" si="15"/>
        <v>0</v>
      </c>
    </row>
    <row r="476" spans="1:18">
      <c r="A476">
        <v>475</v>
      </c>
      <c r="B476" t="s">
        <v>1603</v>
      </c>
      <c r="C476" t="s">
        <v>1604</v>
      </c>
      <c r="D476" t="s">
        <v>32</v>
      </c>
      <c r="E476" t="s">
        <v>87</v>
      </c>
      <c r="F476" t="s">
        <v>99</v>
      </c>
      <c r="G476" t="s">
        <v>1605</v>
      </c>
      <c r="H476" t="s">
        <v>27</v>
      </c>
      <c r="I476" t="s">
        <v>271</v>
      </c>
      <c r="J476" t="s">
        <v>83</v>
      </c>
      <c r="K476" t="s">
        <v>83</v>
      </c>
      <c r="L476" t="s">
        <v>24</v>
      </c>
      <c r="M476" t="s">
        <v>50</v>
      </c>
      <c r="N476" t="s">
        <v>71</v>
      </c>
      <c r="O476">
        <v>24936</v>
      </c>
      <c r="P476">
        <v>18995</v>
      </c>
      <c r="Q476" t="str">
        <f t="shared" si="14"/>
        <v>Pending</v>
      </c>
      <c r="R476">
        <f t="shared" si="15"/>
        <v>5941</v>
      </c>
    </row>
    <row r="477" spans="1:18">
      <c r="A477">
        <v>476</v>
      </c>
      <c r="B477" t="s">
        <v>1606</v>
      </c>
      <c r="C477" t="s">
        <v>1607</v>
      </c>
      <c r="D477" t="s">
        <v>32</v>
      </c>
      <c r="E477" t="s">
        <v>87</v>
      </c>
      <c r="F477" t="s">
        <v>118</v>
      </c>
      <c r="G477" t="s">
        <v>1608</v>
      </c>
      <c r="H477" t="s">
        <v>25</v>
      </c>
      <c r="I477" t="s">
        <v>246</v>
      </c>
      <c r="J477" t="s">
        <v>125</v>
      </c>
      <c r="K477" t="s">
        <v>111</v>
      </c>
      <c r="L477" t="s">
        <v>18</v>
      </c>
      <c r="M477" t="s">
        <v>46</v>
      </c>
      <c r="N477" t="s">
        <v>84</v>
      </c>
      <c r="O477">
        <v>45476</v>
      </c>
      <c r="P477">
        <v>1138</v>
      </c>
      <c r="Q477" t="str">
        <f t="shared" si="14"/>
        <v>Pending</v>
      </c>
      <c r="R477">
        <f t="shared" si="15"/>
        <v>44338</v>
      </c>
    </row>
    <row r="478" spans="1:18">
      <c r="A478">
        <v>477</v>
      </c>
      <c r="B478" t="s">
        <v>1609</v>
      </c>
      <c r="C478" t="s">
        <v>1610</v>
      </c>
      <c r="D478" t="s">
        <v>32</v>
      </c>
      <c r="E478" t="s">
        <v>87</v>
      </c>
      <c r="F478" t="s">
        <v>118</v>
      </c>
      <c r="G478" t="s">
        <v>1611</v>
      </c>
      <c r="H478" t="s">
        <v>22</v>
      </c>
      <c r="I478" t="s">
        <v>186</v>
      </c>
      <c r="J478" t="s">
        <v>110</v>
      </c>
      <c r="K478" t="s">
        <v>111</v>
      </c>
      <c r="L478" t="s">
        <v>18</v>
      </c>
      <c r="M478" t="s">
        <v>46</v>
      </c>
      <c r="N478" t="s">
        <v>84</v>
      </c>
      <c r="O478">
        <v>45021</v>
      </c>
      <c r="P478">
        <v>20120</v>
      </c>
      <c r="Q478" t="str">
        <f t="shared" si="14"/>
        <v>Pending</v>
      </c>
      <c r="R478">
        <f t="shared" si="15"/>
        <v>24901</v>
      </c>
    </row>
    <row r="479" spans="1:18">
      <c r="A479">
        <v>478</v>
      </c>
      <c r="B479" t="s">
        <v>1612</v>
      </c>
      <c r="C479" t="s">
        <v>1613</v>
      </c>
      <c r="D479" t="s">
        <v>26</v>
      </c>
      <c r="E479" t="s">
        <v>65</v>
      </c>
      <c r="F479" t="s">
        <v>88</v>
      </c>
      <c r="G479" t="s">
        <v>1614</v>
      </c>
      <c r="H479" t="s">
        <v>19</v>
      </c>
      <c r="I479" t="s">
        <v>846</v>
      </c>
      <c r="J479" t="s">
        <v>125</v>
      </c>
      <c r="K479" t="s">
        <v>111</v>
      </c>
      <c r="L479" t="s">
        <v>18</v>
      </c>
      <c r="M479" t="s">
        <v>42</v>
      </c>
      <c r="N479" t="s">
        <v>84</v>
      </c>
      <c r="O479">
        <v>30766</v>
      </c>
      <c r="P479">
        <v>23753</v>
      </c>
      <c r="Q479" t="str">
        <f t="shared" si="14"/>
        <v>Pending</v>
      </c>
      <c r="R479">
        <f t="shared" si="15"/>
        <v>7013</v>
      </c>
    </row>
    <row r="480" spans="1:18">
      <c r="A480">
        <v>479</v>
      </c>
      <c r="B480" t="s">
        <v>1615</v>
      </c>
      <c r="C480" t="s">
        <v>1616</v>
      </c>
      <c r="D480" t="s">
        <v>26</v>
      </c>
      <c r="E480" t="s">
        <v>65</v>
      </c>
      <c r="F480" t="s">
        <v>66</v>
      </c>
      <c r="G480" t="s">
        <v>1617</v>
      </c>
      <c r="H480" t="s">
        <v>27</v>
      </c>
      <c r="I480" t="s">
        <v>223</v>
      </c>
      <c r="J480" t="s">
        <v>110</v>
      </c>
      <c r="K480" t="s">
        <v>111</v>
      </c>
      <c r="L480" t="s">
        <v>18</v>
      </c>
      <c r="M480" t="s">
        <v>48</v>
      </c>
      <c r="N480" t="s">
        <v>77</v>
      </c>
      <c r="O480">
        <v>37461</v>
      </c>
      <c r="P480">
        <v>17093</v>
      </c>
      <c r="Q480" t="str">
        <f t="shared" si="14"/>
        <v>Pending</v>
      </c>
      <c r="R480">
        <f t="shared" si="15"/>
        <v>20368</v>
      </c>
    </row>
    <row r="481" spans="1:18">
      <c r="A481">
        <v>480</v>
      </c>
      <c r="B481" t="s">
        <v>1618</v>
      </c>
      <c r="C481" t="s">
        <v>1619</v>
      </c>
      <c r="D481" t="s">
        <v>26</v>
      </c>
      <c r="E481" t="s">
        <v>65</v>
      </c>
      <c r="F481" t="s">
        <v>88</v>
      </c>
      <c r="G481" t="s">
        <v>1620</v>
      </c>
      <c r="H481" t="s">
        <v>27</v>
      </c>
      <c r="I481" t="s">
        <v>186</v>
      </c>
      <c r="J481" t="s">
        <v>69</v>
      </c>
      <c r="K481" t="s">
        <v>70</v>
      </c>
      <c r="L481" t="s">
        <v>21</v>
      </c>
      <c r="M481" t="s">
        <v>46</v>
      </c>
      <c r="N481" t="s">
        <v>71</v>
      </c>
      <c r="O481">
        <v>16105</v>
      </c>
      <c r="P481">
        <v>13433</v>
      </c>
      <c r="Q481" t="str">
        <f t="shared" si="14"/>
        <v>Pending</v>
      </c>
      <c r="R481">
        <f t="shared" si="15"/>
        <v>2672</v>
      </c>
    </row>
    <row r="482" spans="1:18">
      <c r="A482">
        <v>481</v>
      </c>
      <c r="B482" t="s">
        <v>1621</v>
      </c>
      <c r="C482" t="s">
        <v>1622</v>
      </c>
      <c r="D482" t="s">
        <v>30</v>
      </c>
      <c r="E482" t="s">
        <v>65</v>
      </c>
      <c r="F482" t="s">
        <v>66</v>
      </c>
      <c r="G482" t="s">
        <v>1623</v>
      </c>
      <c r="H482" t="s">
        <v>25</v>
      </c>
      <c r="I482" t="s">
        <v>227</v>
      </c>
      <c r="J482" t="s">
        <v>83</v>
      </c>
      <c r="K482" t="s">
        <v>83</v>
      </c>
      <c r="L482" t="s">
        <v>24</v>
      </c>
      <c r="M482" t="s">
        <v>50</v>
      </c>
      <c r="N482" t="s">
        <v>71</v>
      </c>
      <c r="O482">
        <v>17485</v>
      </c>
      <c r="P482">
        <v>434</v>
      </c>
      <c r="Q482" t="str">
        <f t="shared" si="14"/>
        <v>Pending</v>
      </c>
      <c r="R482">
        <f t="shared" si="15"/>
        <v>17051</v>
      </c>
    </row>
    <row r="483" spans="1:18">
      <c r="A483">
        <v>482</v>
      </c>
      <c r="B483" t="s">
        <v>1624</v>
      </c>
      <c r="C483" t="s">
        <v>1625</v>
      </c>
      <c r="D483" t="s">
        <v>26</v>
      </c>
      <c r="E483" t="s">
        <v>65</v>
      </c>
      <c r="F483" t="s">
        <v>66</v>
      </c>
      <c r="G483" t="s">
        <v>1626</v>
      </c>
      <c r="H483" t="s">
        <v>27</v>
      </c>
      <c r="I483" t="s">
        <v>716</v>
      </c>
      <c r="J483" t="s">
        <v>69</v>
      </c>
      <c r="K483" t="s">
        <v>70</v>
      </c>
      <c r="L483" t="s">
        <v>21</v>
      </c>
      <c r="M483" t="s">
        <v>48</v>
      </c>
      <c r="N483" t="s">
        <v>71</v>
      </c>
      <c r="O483">
        <v>34347</v>
      </c>
      <c r="P483">
        <v>29951</v>
      </c>
      <c r="Q483" t="str">
        <f t="shared" si="14"/>
        <v>Pending</v>
      </c>
      <c r="R483">
        <f t="shared" si="15"/>
        <v>4396</v>
      </c>
    </row>
    <row r="484" spans="1:18">
      <c r="A484">
        <v>483</v>
      </c>
      <c r="B484" t="s">
        <v>1627</v>
      </c>
      <c r="C484" t="s">
        <v>1628</v>
      </c>
      <c r="D484" t="s">
        <v>31</v>
      </c>
      <c r="E484" t="s">
        <v>87</v>
      </c>
      <c r="F484" t="s">
        <v>74</v>
      </c>
      <c r="G484" t="s">
        <v>1629</v>
      </c>
      <c r="H484" t="s">
        <v>19</v>
      </c>
      <c r="I484" t="s">
        <v>124</v>
      </c>
      <c r="J484" t="s">
        <v>110</v>
      </c>
      <c r="K484" t="s">
        <v>111</v>
      </c>
      <c r="L484" t="s">
        <v>18</v>
      </c>
      <c r="M484" t="s">
        <v>45</v>
      </c>
      <c r="N484" t="s">
        <v>71</v>
      </c>
      <c r="O484">
        <v>32632</v>
      </c>
      <c r="P484">
        <v>26409</v>
      </c>
      <c r="Q484" t="str">
        <f t="shared" si="14"/>
        <v>Pending</v>
      </c>
      <c r="R484">
        <f t="shared" si="15"/>
        <v>6223</v>
      </c>
    </row>
    <row r="485" spans="1:18">
      <c r="A485">
        <v>484</v>
      </c>
      <c r="B485" t="s">
        <v>1630</v>
      </c>
      <c r="C485" t="s">
        <v>1631</v>
      </c>
      <c r="D485" t="s">
        <v>20</v>
      </c>
      <c r="E485" t="s">
        <v>80</v>
      </c>
      <c r="F485" t="s">
        <v>88</v>
      </c>
      <c r="G485" t="s">
        <v>1632</v>
      </c>
      <c r="H485" t="s">
        <v>19</v>
      </c>
      <c r="I485" t="s">
        <v>190</v>
      </c>
      <c r="J485" t="s">
        <v>83</v>
      </c>
      <c r="K485" t="s">
        <v>83</v>
      </c>
      <c r="L485" t="s">
        <v>24</v>
      </c>
      <c r="M485" t="s">
        <v>45</v>
      </c>
      <c r="N485" t="s">
        <v>84</v>
      </c>
      <c r="O485">
        <v>36438</v>
      </c>
      <c r="P485">
        <v>25673</v>
      </c>
      <c r="Q485" t="str">
        <f t="shared" si="14"/>
        <v>Pending</v>
      </c>
      <c r="R485">
        <f t="shared" si="15"/>
        <v>10765</v>
      </c>
    </row>
    <row r="486" spans="1:18">
      <c r="A486">
        <v>485</v>
      </c>
      <c r="B486" t="s">
        <v>1633</v>
      </c>
      <c r="C486" t="s">
        <v>1634</v>
      </c>
      <c r="D486" t="s">
        <v>23</v>
      </c>
      <c r="E486" t="s">
        <v>80</v>
      </c>
      <c r="F486" t="s">
        <v>118</v>
      </c>
      <c r="G486" t="s">
        <v>1635</v>
      </c>
      <c r="H486" t="s">
        <v>19</v>
      </c>
      <c r="I486" t="s">
        <v>433</v>
      </c>
      <c r="J486" t="s">
        <v>95</v>
      </c>
      <c r="K486" t="s">
        <v>96</v>
      </c>
      <c r="L486" t="s">
        <v>21</v>
      </c>
      <c r="M486" t="s">
        <v>46</v>
      </c>
      <c r="N486" t="s">
        <v>71</v>
      </c>
      <c r="O486">
        <v>16887</v>
      </c>
      <c r="P486">
        <v>16887</v>
      </c>
      <c r="Q486" t="str">
        <f t="shared" si="14"/>
        <v>Received</v>
      </c>
      <c r="R486">
        <f t="shared" si="15"/>
        <v>0</v>
      </c>
    </row>
    <row r="487" spans="1:18">
      <c r="A487">
        <v>486</v>
      </c>
      <c r="B487" t="s">
        <v>1636</v>
      </c>
      <c r="C487" t="s">
        <v>1637</v>
      </c>
      <c r="D487" t="s">
        <v>40</v>
      </c>
      <c r="E487" t="s">
        <v>152</v>
      </c>
      <c r="F487" t="s">
        <v>74</v>
      </c>
      <c r="G487" t="s">
        <v>1638</v>
      </c>
      <c r="H487" t="s">
        <v>29</v>
      </c>
      <c r="I487" t="s">
        <v>141</v>
      </c>
      <c r="J487" t="s">
        <v>125</v>
      </c>
      <c r="K487" t="s">
        <v>111</v>
      </c>
      <c r="L487" t="s">
        <v>18</v>
      </c>
      <c r="M487" t="s">
        <v>42</v>
      </c>
      <c r="N487" t="s">
        <v>84</v>
      </c>
      <c r="O487">
        <v>38021</v>
      </c>
      <c r="P487">
        <v>20183</v>
      </c>
      <c r="Q487" t="str">
        <f t="shared" si="14"/>
        <v>Pending</v>
      </c>
      <c r="R487">
        <f t="shared" si="15"/>
        <v>17838</v>
      </c>
    </row>
    <row r="488" spans="1:18">
      <c r="A488">
        <v>487</v>
      </c>
      <c r="B488" t="s">
        <v>1639</v>
      </c>
      <c r="C488" t="s">
        <v>1640</v>
      </c>
      <c r="D488" t="s">
        <v>26</v>
      </c>
      <c r="E488" t="s">
        <v>65</v>
      </c>
      <c r="F488" t="s">
        <v>66</v>
      </c>
      <c r="G488" t="s">
        <v>1641</v>
      </c>
      <c r="H488" t="s">
        <v>27</v>
      </c>
      <c r="I488" t="s">
        <v>295</v>
      </c>
      <c r="J488" t="s">
        <v>69</v>
      </c>
      <c r="K488" t="s">
        <v>70</v>
      </c>
      <c r="L488" t="s">
        <v>21</v>
      </c>
      <c r="M488" t="s">
        <v>42</v>
      </c>
      <c r="N488" t="s">
        <v>77</v>
      </c>
      <c r="O488">
        <v>10916</v>
      </c>
      <c r="P488">
        <v>953</v>
      </c>
      <c r="Q488" t="str">
        <f t="shared" si="14"/>
        <v>Pending</v>
      </c>
      <c r="R488">
        <f t="shared" si="15"/>
        <v>9963</v>
      </c>
    </row>
    <row r="489" spans="1:18">
      <c r="A489">
        <v>488</v>
      </c>
      <c r="B489" t="s">
        <v>1642</v>
      </c>
      <c r="C489" t="s">
        <v>1643</v>
      </c>
      <c r="D489" t="s">
        <v>31</v>
      </c>
      <c r="E489" t="s">
        <v>87</v>
      </c>
      <c r="F489" t="s">
        <v>66</v>
      </c>
      <c r="G489" t="s">
        <v>1644</v>
      </c>
      <c r="H489" t="s">
        <v>19</v>
      </c>
      <c r="I489" t="s">
        <v>912</v>
      </c>
      <c r="J489" t="s">
        <v>83</v>
      </c>
      <c r="K489" t="s">
        <v>83</v>
      </c>
      <c r="L489" t="s">
        <v>24</v>
      </c>
      <c r="M489" t="s">
        <v>46</v>
      </c>
      <c r="N489" t="s">
        <v>77</v>
      </c>
      <c r="O489">
        <v>34623</v>
      </c>
      <c r="P489">
        <v>34623</v>
      </c>
      <c r="Q489" t="str">
        <f t="shared" si="14"/>
        <v>Received</v>
      </c>
      <c r="R489">
        <f t="shared" si="15"/>
        <v>0</v>
      </c>
    </row>
    <row r="490" spans="1:18">
      <c r="A490">
        <v>489</v>
      </c>
      <c r="B490" t="s">
        <v>1645</v>
      </c>
      <c r="C490" t="s">
        <v>1646</v>
      </c>
      <c r="D490" t="s">
        <v>33</v>
      </c>
      <c r="E490" t="s">
        <v>87</v>
      </c>
      <c r="F490" t="s">
        <v>88</v>
      </c>
      <c r="G490" t="s">
        <v>1647</v>
      </c>
      <c r="H490" t="s">
        <v>22</v>
      </c>
      <c r="I490" t="s">
        <v>1147</v>
      </c>
      <c r="J490" t="s">
        <v>83</v>
      </c>
      <c r="K490" t="s">
        <v>83</v>
      </c>
      <c r="L490" t="s">
        <v>24</v>
      </c>
      <c r="M490" t="s">
        <v>50</v>
      </c>
      <c r="N490" t="s">
        <v>84</v>
      </c>
      <c r="O490">
        <v>43006</v>
      </c>
      <c r="P490">
        <v>8955</v>
      </c>
      <c r="Q490" t="str">
        <f t="shared" si="14"/>
        <v>Pending</v>
      </c>
      <c r="R490">
        <f t="shared" si="15"/>
        <v>34051</v>
      </c>
    </row>
    <row r="491" spans="1:18">
      <c r="A491">
        <v>490</v>
      </c>
      <c r="B491" t="s">
        <v>1648</v>
      </c>
      <c r="C491" t="s">
        <v>1649</v>
      </c>
      <c r="D491" t="s">
        <v>17</v>
      </c>
      <c r="E491" t="s">
        <v>80</v>
      </c>
      <c r="F491" t="s">
        <v>66</v>
      </c>
      <c r="G491" t="s">
        <v>1650</v>
      </c>
      <c r="H491" t="s">
        <v>29</v>
      </c>
      <c r="I491" t="s">
        <v>339</v>
      </c>
      <c r="J491" t="s">
        <v>125</v>
      </c>
      <c r="K491" t="s">
        <v>111</v>
      </c>
      <c r="L491" t="s">
        <v>18</v>
      </c>
      <c r="M491" t="s">
        <v>50</v>
      </c>
      <c r="N491" t="s">
        <v>77</v>
      </c>
      <c r="O491">
        <v>27682</v>
      </c>
      <c r="P491">
        <v>16639</v>
      </c>
      <c r="Q491" t="str">
        <f t="shared" si="14"/>
        <v>Pending</v>
      </c>
      <c r="R491">
        <f t="shared" si="15"/>
        <v>11043</v>
      </c>
    </row>
    <row r="492" spans="1:18">
      <c r="A492">
        <v>491</v>
      </c>
      <c r="B492" t="s">
        <v>1651</v>
      </c>
      <c r="C492" t="s">
        <v>1652</v>
      </c>
      <c r="D492" t="s">
        <v>36</v>
      </c>
      <c r="E492" t="s">
        <v>152</v>
      </c>
      <c r="F492" t="s">
        <v>88</v>
      </c>
      <c r="G492" t="s">
        <v>1653</v>
      </c>
      <c r="H492" t="s">
        <v>19</v>
      </c>
      <c r="I492" t="s">
        <v>388</v>
      </c>
      <c r="J492" t="s">
        <v>83</v>
      </c>
      <c r="K492" t="s">
        <v>83</v>
      </c>
      <c r="L492" t="s">
        <v>24</v>
      </c>
      <c r="M492" t="s">
        <v>50</v>
      </c>
      <c r="N492" t="s">
        <v>77</v>
      </c>
      <c r="O492">
        <v>8824</v>
      </c>
      <c r="P492">
        <v>8824</v>
      </c>
      <c r="Q492" t="str">
        <f t="shared" si="14"/>
        <v>Received</v>
      </c>
      <c r="R492">
        <f t="shared" si="15"/>
        <v>0</v>
      </c>
    </row>
    <row r="493" spans="1:18">
      <c r="A493">
        <v>492</v>
      </c>
      <c r="B493" t="s">
        <v>1654</v>
      </c>
      <c r="C493" t="s">
        <v>1655</v>
      </c>
      <c r="D493" t="s">
        <v>43</v>
      </c>
      <c r="E493" t="s">
        <v>152</v>
      </c>
      <c r="F493" t="s">
        <v>118</v>
      </c>
      <c r="G493" t="s">
        <v>1656</v>
      </c>
      <c r="H493" t="s">
        <v>29</v>
      </c>
      <c r="I493" t="s">
        <v>609</v>
      </c>
      <c r="J493" t="s">
        <v>69</v>
      </c>
      <c r="K493" t="s">
        <v>70</v>
      </c>
      <c r="L493" t="s">
        <v>21</v>
      </c>
      <c r="M493" t="s">
        <v>50</v>
      </c>
      <c r="N493" t="s">
        <v>77</v>
      </c>
      <c r="O493">
        <v>17517</v>
      </c>
      <c r="P493">
        <v>17517</v>
      </c>
      <c r="Q493" t="str">
        <f t="shared" si="14"/>
        <v>Received</v>
      </c>
      <c r="R493">
        <f t="shared" si="15"/>
        <v>0</v>
      </c>
    </row>
    <row r="494" spans="1:18">
      <c r="A494">
        <v>493</v>
      </c>
      <c r="B494" t="s">
        <v>1657</v>
      </c>
      <c r="C494" t="s">
        <v>1658</v>
      </c>
      <c r="D494" t="s">
        <v>32</v>
      </c>
      <c r="E494" t="s">
        <v>87</v>
      </c>
      <c r="F494" t="s">
        <v>88</v>
      </c>
      <c r="G494" t="s">
        <v>1659</v>
      </c>
      <c r="H494" t="s">
        <v>22</v>
      </c>
      <c r="I494" t="s">
        <v>137</v>
      </c>
      <c r="J494" t="s">
        <v>69</v>
      </c>
      <c r="K494" t="s">
        <v>70</v>
      </c>
      <c r="L494" t="s">
        <v>21</v>
      </c>
      <c r="M494" t="s">
        <v>50</v>
      </c>
      <c r="N494" t="s">
        <v>84</v>
      </c>
      <c r="O494">
        <v>30251</v>
      </c>
      <c r="P494">
        <v>10713</v>
      </c>
      <c r="Q494" t="str">
        <f t="shared" si="14"/>
        <v>Pending</v>
      </c>
      <c r="R494">
        <f t="shared" si="15"/>
        <v>19538</v>
      </c>
    </row>
    <row r="495" spans="1:18">
      <c r="A495">
        <v>494</v>
      </c>
      <c r="B495" t="s">
        <v>1660</v>
      </c>
      <c r="C495" t="s">
        <v>1661</v>
      </c>
      <c r="D495" t="s">
        <v>31</v>
      </c>
      <c r="E495" t="s">
        <v>87</v>
      </c>
      <c r="F495" t="s">
        <v>74</v>
      </c>
      <c r="G495" t="s">
        <v>1662</v>
      </c>
      <c r="H495" t="s">
        <v>25</v>
      </c>
      <c r="I495" t="s">
        <v>770</v>
      </c>
      <c r="J495" t="s">
        <v>95</v>
      </c>
      <c r="K495" t="s">
        <v>96</v>
      </c>
      <c r="L495" t="s">
        <v>21</v>
      </c>
      <c r="M495" t="s">
        <v>42</v>
      </c>
      <c r="N495" t="s">
        <v>71</v>
      </c>
      <c r="O495">
        <v>31726</v>
      </c>
      <c r="P495">
        <v>5612</v>
      </c>
      <c r="Q495" t="str">
        <f t="shared" si="14"/>
        <v>Pending</v>
      </c>
      <c r="R495">
        <f t="shared" si="15"/>
        <v>26114</v>
      </c>
    </row>
    <row r="496" spans="1:18">
      <c r="A496">
        <v>495</v>
      </c>
      <c r="B496" t="s">
        <v>1663</v>
      </c>
      <c r="C496" t="s">
        <v>1664</v>
      </c>
      <c r="D496" t="s">
        <v>23</v>
      </c>
      <c r="E496" t="s">
        <v>80</v>
      </c>
      <c r="F496" t="s">
        <v>74</v>
      </c>
      <c r="G496" t="s">
        <v>1665</v>
      </c>
      <c r="H496" t="s">
        <v>29</v>
      </c>
      <c r="I496" t="s">
        <v>541</v>
      </c>
      <c r="J496" t="s">
        <v>95</v>
      </c>
      <c r="K496" t="s">
        <v>96</v>
      </c>
      <c r="L496" t="s">
        <v>21</v>
      </c>
      <c r="M496" t="s">
        <v>50</v>
      </c>
      <c r="N496" t="s">
        <v>84</v>
      </c>
      <c r="O496">
        <v>10221</v>
      </c>
      <c r="P496">
        <v>6891</v>
      </c>
      <c r="Q496" t="str">
        <f t="shared" si="14"/>
        <v>Pending</v>
      </c>
      <c r="R496">
        <f t="shared" si="15"/>
        <v>3330</v>
      </c>
    </row>
    <row r="497" spans="1:18">
      <c r="A497">
        <v>496</v>
      </c>
      <c r="B497" t="s">
        <v>1666</v>
      </c>
      <c r="C497" t="s">
        <v>1667</v>
      </c>
      <c r="D497" t="s">
        <v>40</v>
      </c>
      <c r="E497" t="s">
        <v>152</v>
      </c>
      <c r="F497" t="s">
        <v>118</v>
      </c>
      <c r="G497" t="s">
        <v>1668</v>
      </c>
      <c r="H497" t="s">
        <v>25</v>
      </c>
      <c r="I497" t="s">
        <v>853</v>
      </c>
      <c r="J497" t="s">
        <v>125</v>
      </c>
      <c r="K497" t="s">
        <v>111</v>
      </c>
      <c r="L497" t="s">
        <v>18</v>
      </c>
      <c r="M497" t="s">
        <v>50</v>
      </c>
      <c r="N497" t="s">
        <v>77</v>
      </c>
      <c r="O497">
        <v>15113</v>
      </c>
      <c r="P497">
        <v>9643</v>
      </c>
      <c r="Q497" t="str">
        <f t="shared" si="14"/>
        <v>Pending</v>
      </c>
      <c r="R497">
        <f t="shared" si="15"/>
        <v>5470</v>
      </c>
    </row>
    <row r="498" spans="1:18">
      <c r="A498">
        <v>497</v>
      </c>
      <c r="B498" t="s">
        <v>1669</v>
      </c>
      <c r="C498" t="s">
        <v>1670</v>
      </c>
      <c r="D498" t="s">
        <v>36</v>
      </c>
      <c r="E498" t="s">
        <v>152</v>
      </c>
      <c r="F498" t="s">
        <v>88</v>
      </c>
      <c r="G498" t="s">
        <v>1671</v>
      </c>
      <c r="H498" t="s">
        <v>19</v>
      </c>
      <c r="I498" t="s">
        <v>115</v>
      </c>
      <c r="J498" t="s">
        <v>83</v>
      </c>
      <c r="K498" t="s">
        <v>83</v>
      </c>
      <c r="L498" t="s">
        <v>24</v>
      </c>
      <c r="M498" t="s">
        <v>42</v>
      </c>
      <c r="N498" t="s">
        <v>77</v>
      </c>
      <c r="O498">
        <v>46191</v>
      </c>
      <c r="P498">
        <v>1977</v>
      </c>
      <c r="Q498" t="str">
        <f t="shared" si="14"/>
        <v>Pending</v>
      </c>
      <c r="R498">
        <f t="shared" si="15"/>
        <v>44214</v>
      </c>
    </row>
    <row r="499" spans="1:18">
      <c r="A499">
        <v>498</v>
      </c>
      <c r="B499" t="s">
        <v>1672</v>
      </c>
      <c r="C499" t="s">
        <v>1673</v>
      </c>
      <c r="D499" t="s">
        <v>30</v>
      </c>
      <c r="E499" t="s">
        <v>65</v>
      </c>
      <c r="F499" t="s">
        <v>66</v>
      </c>
      <c r="G499" t="s">
        <v>1674</v>
      </c>
      <c r="H499" t="s">
        <v>22</v>
      </c>
      <c r="I499" t="s">
        <v>770</v>
      </c>
      <c r="J499" t="s">
        <v>69</v>
      </c>
      <c r="K499" t="s">
        <v>70</v>
      </c>
      <c r="L499" t="s">
        <v>21</v>
      </c>
      <c r="M499" t="s">
        <v>48</v>
      </c>
      <c r="N499" t="s">
        <v>84</v>
      </c>
      <c r="O499">
        <v>46157</v>
      </c>
      <c r="P499">
        <v>6066</v>
      </c>
      <c r="Q499" t="str">
        <f t="shared" si="14"/>
        <v>Pending</v>
      </c>
      <c r="R499">
        <f t="shared" si="15"/>
        <v>40091</v>
      </c>
    </row>
    <row r="500" spans="1:18">
      <c r="A500">
        <v>499</v>
      </c>
      <c r="B500" t="s">
        <v>1675</v>
      </c>
      <c r="C500" t="s">
        <v>1676</v>
      </c>
      <c r="D500" t="s">
        <v>33</v>
      </c>
      <c r="E500" t="s">
        <v>87</v>
      </c>
      <c r="F500" t="s">
        <v>88</v>
      </c>
      <c r="G500" t="s">
        <v>1677</v>
      </c>
      <c r="H500" t="s">
        <v>25</v>
      </c>
      <c r="I500" t="s">
        <v>599</v>
      </c>
      <c r="J500" t="s">
        <v>110</v>
      </c>
      <c r="K500" t="s">
        <v>111</v>
      </c>
      <c r="L500" t="s">
        <v>18</v>
      </c>
      <c r="M500" t="s">
        <v>46</v>
      </c>
      <c r="N500" t="s">
        <v>84</v>
      </c>
      <c r="O500">
        <v>38327</v>
      </c>
      <c r="P500">
        <v>24985</v>
      </c>
      <c r="Q500" t="str">
        <f t="shared" si="14"/>
        <v>Pending</v>
      </c>
      <c r="R500">
        <f t="shared" si="15"/>
        <v>13342</v>
      </c>
    </row>
    <row r="501" spans="1:18">
      <c r="A501">
        <v>500</v>
      </c>
      <c r="B501" t="s">
        <v>1678</v>
      </c>
      <c r="C501" t="s">
        <v>1679</v>
      </c>
      <c r="D501" t="s">
        <v>28</v>
      </c>
      <c r="E501" t="s">
        <v>65</v>
      </c>
      <c r="F501" t="s">
        <v>99</v>
      </c>
      <c r="G501" t="s">
        <v>1680</v>
      </c>
      <c r="H501" t="s">
        <v>25</v>
      </c>
      <c r="I501" t="s">
        <v>474</v>
      </c>
      <c r="J501" t="s">
        <v>83</v>
      </c>
      <c r="K501" t="s">
        <v>83</v>
      </c>
      <c r="L501" t="s">
        <v>24</v>
      </c>
      <c r="M501" t="s">
        <v>50</v>
      </c>
      <c r="N501" t="s">
        <v>84</v>
      </c>
      <c r="O501">
        <v>14661</v>
      </c>
      <c r="P501">
        <v>14661</v>
      </c>
      <c r="Q501" t="str">
        <f t="shared" si="14"/>
        <v>Received</v>
      </c>
      <c r="R501">
        <f t="shared" si="15"/>
        <v>0</v>
      </c>
    </row>
  </sheetData>
  <autoFilter ref="A1:R501"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525F6-EE06-45DC-9008-396BC4220E56}">
  <dimension ref="A1:N31"/>
  <sheetViews>
    <sheetView tabSelected="1" topLeftCell="A9" workbookViewId="0">
      <selection activeCell="G16" sqref="G16:J23"/>
    </sheetView>
  </sheetViews>
  <sheetFormatPr defaultRowHeight="14.5"/>
  <cols>
    <col min="1" max="1" width="10.7265625" bestFit="1" customWidth="1"/>
    <col min="2" max="2" width="14.54296875" bestFit="1" customWidth="1"/>
    <col min="3" max="4" width="13" bestFit="1" customWidth="1"/>
    <col min="5" max="5" width="4.81640625" bestFit="1" customWidth="1"/>
    <col min="6" max="6" width="14.90625" bestFit="1" customWidth="1"/>
    <col min="7" max="7" width="15.26953125" bestFit="1" customWidth="1"/>
    <col min="8" max="8" width="14.54296875" bestFit="1" customWidth="1"/>
    <col min="9" max="10" width="13" bestFit="1" customWidth="1"/>
    <col min="11" max="11" width="10.7265625" bestFit="1" customWidth="1"/>
    <col min="12" max="12" width="14.453125" bestFit="1" customWidth="1"/>
    <col min="13" max="17" width="13" bestFit="1" customWidth="1"/>
    <col min="18" max="18" width="14.54296875" bestFit="1" customWidth="1"/>
    <col min="19" max="58" width="4.81640625" bestFit="1" customWidth="1"/>
    <col min="59" max="499" width="5.81640625" bestFit="1" customWidth="1"/>
    <col min="500" max="500" width="10.7265625" bestFit="1" customWidth="1"/>
  </cols>
  <sheetData>
    <row r="1" spans="1:14" ht="25">
      <c r="A1" s="13" t="s">
        <v>0</v>
      </c>
      <c r="B1" s="14"/>
      <c r="C1" s="14"/>
      <c r="D1" s="14"/>
      <c r="E1" s="14"/>
      <c r="F1" s="14"/>
      <c r="G1" s="14"/>
      <c r="H1" s="14"/>
      <c r="I1" s="14"/>
      <c r="J1" s="14"/>
      <c r="K1" s="14"/>
      <c r="L1" s="14"/>
      <c r="M1" s="14"/>
      <c r="N1" s="14"/>
    </row>
    <row r="2" spans="1:14">
      <c r="A2" s="17" t="s">
        <v>1</v>
      </c>
      <c r="B2" s="14"/>
      <c r="C2" s="14"/>
      <c r="D2" s="14"/>
      <c r="E2" s="14"/>
      <c r="F2" s="14"/>
      <c r="G2" s="14"/>
      <c r="H2" s="14"/>
      <c r="I2" s="14"/>
      <c r="J2" s="14"/>
      <c r="K2" s="14"/>
      <c r="L2" s="14"/>
      <c r="M2" s="14"/>
      <c r="N2" s="14"/>
    </row>
    <row r="4" spans="1:14">
      <c r="A4" s="9" t="s">
        <v>2</v>
      </c>
      <c r="B4" s="8"/>
      <c r="C4" s="8"/>
      <c r="D4" s="10" t="s">
        <v>3</v>
      </c>
      <c r="E4" s="8"/>
      <c r="F4" s="8"/>
      <c r="G4" s="12" t="s">
        <v>4</v>
      </c>
      <c r="H4" s="8"/>
      <c r="I4" s="8"/>
      <c r="K4" s="18" t="s">
        <v>5</v>
      </c>
      <c r="L4" s="8"/>
      <c r="M4" s="20" t="s">
        <v>6</v>
      </c>
      <c r="N4" s="8"/>
    </row>
    <row r="5" spans="1:14">
      <c r="A5" s="7">
        <v>14015977</v>
      </c>
      <c r="B5" s="8"/>
      <c r="C5" s="8"/>
      <c r="D5" s="7">
        <v>7396140</v>
      </c>
      <c r="E5" s="8"/>
      <c r="F5" s="8"/>
      <c r="G5" s="7">
        <v>6619837</v>
      </c>
      <c r="H5" s="8"/>
      <c r="I5" s="8"/>
      <c r="K5" s="11">
        <v>0.52769350292170147</v>
      </c>
      <c r="L5" s="8"/>
      <c r="M5" s="15">
        <v>475</v>
      </c>
      <c r="N5" s="8"/>
    </row>
    <row r="6" spans="1:14">
      <c r="A6" s="8"/>
      <c r="B6" s="8"/>
      <c r="C6" s="8"/>
      <c r="D6" s="8"/>
      <c r="E6" s="8"/>
      <c r="F6" s="8"/>
      <c r="G6" s="8"/>
      <c r="H6" s="8"/>
      <c r="I6" s="8"/>
      <c r="K6" s="8"/>
      <c r="L6" s="8"/>
      <c r="M6" s="8"/>
      <c r="N6" s="8"/>
    </row>
    <row r="7" spans="1:14">
      <c r="K7" s="24" t="s">
        <v>9</v>
      </c>
      <c r="L7" s="24"/>
      <c r="M7" s="24"/>
      <c r="N7" s="24"/>
    </row>
    <row r="8" spans="1:14">
      <c r="A8" s="27" t="s">
        <v>7</v>
      </c>
      <c r="B8" s="27"/>
      <c r="C8" s="27"/>
      <c r="D8" s="27"/>
      <c r="F8" s="24" t="s">
        <v>8</v>
      </c>
      <c r="G8" s="24"/>
      <c r="H8" s="24"/>
      <c r="I8" s="24"/>
      <c r="K8" s="28" t="s">
        <v>16</v>
      </c>
      <c r="L8" s="22" t="s">
        <v>1689</v>
      </c>
      <c r="M8" s="22" t="s">
        <v>1688</v>
      </c>
      <c r="N8" s="22" t="s">
        <v>1686</v>
      </c>
    </row>
    <row r="9" spans="1:14">
      <c r="A9" s="21" t="s">
        <v>1684</v>
      </c>
      <c r="B9" t="s">
        <v>1685</v>
      </c>
      <c r="C9" t="s">
        <v>1686</v>
      </c>
      <c r="D9" t="s">
        <v>1687</v>
      </c>
      <c r="F9" s="21" t="s">
        <v>14</v>
      </c>
      <c r="G9" t="s">
        <v>15</v>
      </c>
      <c r="H9" t="s">
        <v>1686</v>
      </c>
      <c r="I9" t="s">
        <v>1688</v>
      </c>
      <c r="K9" s="22" t="s">
        <v>22</v>
      </c>
      <c r="L9" s="29">
        <v>1238617</v>
      </c>
      <c r="M9" s="29">
        <v>601018</v>
      </c>
      <c r="N9" s="29">
        <v>637599</v>
      </c>
    </row>
    <row r="10" spans="1:14">
      <c r="A10" s="22" t="s">
        <v>17</v>
      </c>
      <c r="B10" s="25">
        <v>1112738</v>
      </c>
      <c r="C10" s="25">
        <v>434160</v>
      </c>
      <c r="D10" s="25">
        <v>678578</v>
      </c>
      <c r="F10" s="22" t="s">
        <v>24</v>
      </c>
      <c r="G10" s="25">
        <v>3023612</v>
      </c>
      <c r="H10" s="25">
        <v>1290142</v>
      </c>
      <c r="I10" s="25">
        <v>1733470</v>
      </c>
      <c r="K10" s="22" t="s">
        <v>19</v>
      </c>
      <c r="L10" s="29">
        <v>695602</v>
      </c>
      <c r="M10" s="29">
        <v>360711</v>
      </c>
      <c r="N10" s="29">
        <v>334891</v>
      </c>
    </row>
    <row r="11" spans="1:14">
      <c r="A11" s="22" t="s">
        <v>20</v>
      </c>
      <c r="B11" s="25">
        <v>983356</v>
      </c>
      <c r="C11" s="25">
        <v>453862</v>
      </c>
      <c r="D11" s="25">
        <v>529494</v>
      </c>
      <c r="F11" s="22" t="s">
        <v>21</v>
      </c>
      <c r="G11" s="25">
        <v>4897410</v>
      </c>
      <c r="H11" s="25">
        <v>2317650</v>
      </c>
      <c r="I11" s="25">
        <v>2579760</v>
      </c>
      <c r="K11" s="22" t="s">
        <v>29</v>
      </c>
      <c r="L11" s="29">
        <v>785643</v>
      </c>
      <c r="M11" s="29">
        <v>478674</v>
      </c>
      <c r="N11" s="29">
        <v>306969</v>
      </c>
    </row>
    <row r="12" spans="1:14">
      <c r="A12" s="22" t="s">
        <v>23</v>
      </c>
      <c r="B12" s="25">
        <v>988396</v>
      </c>
      <c r="C12" s="25">
        <v>488348</v>
      </c>
      <c r="D12" s="25">
        <v>500048</v>
      </c>
      <c r="F12" s="22" t="s">
        <v>18</v>
      </c>
      <c r="G12" s="25">
        <v>6094955</v>
      </c>
      <c r="H12" s="25">
        <v>3012045</v>
      </c>
      <c r="I12" s="25">
        <v>3082910</v>
      </c>
      <c r="K12" s="22" t="s">
        <v>25</v>
      </c>
      <c r="L12" s="29">
        <v>1062926</v>
      </c>
      <c r="M12" s="29">
        <v>569172</v>
      </c>
      <c r="N12" s="29">
        <v>493754</v>
      </c>
    </row>
    <row r="13" spans="1:14">
      <c r="A13" s="22" t="s">
        <v>26</v>
      </c>
      <c r="B13" s="25">
        <v>1824432</v>
      </c>
      <c r="C13" s="25">
        <v>946909</v>
      </c>
      <c r="D13" s="25">
        <v>877523</v>
      </c>
      <c r="F13" s="22" t="s">
        <v>1682</v>
      </c>
      <c r="G13" s="25">
        <v>14015977</v>
      </c>
      <c r="H13" s="25">
        <v>6619837</v>
      </c>
      <c r="I13" s="25">
        <v>7396140</v>
      </c>
      <c r="K13" s="22" t="s">
        <v>27</v>
      </c>
      <c r="L13" s="29">
        <v>1114622</v>
      </c>
      <c r="M13" s="29">
        <v>570185</v>
      </c>
      <c r="N13" s="29">
        <v>544437</v>
      </c>
    </row>
    <row r="14" spans="1:14">
      <c r="A14" s="22" t="s">
        <v>28</v>
      </c>
      <c r="B14" s="25">
        <v>1239278</v>
      </c>
      <c r="C14" s="25">
        <v>529727</v>
      </c>
      <c r="D14" s="25">
        <v>709551</v>
      </c>
      <c r="K14" s="22" t="s">
        <v>1682</v>
      </c>
      <c r="L14" s="29">
        <v>4897410</v>
      </c>
      <c r="M14" s="29">
        <v>2579760</v>
      </c>
      <c r="N14" s="29">
        <v>2317650</v>
      </c>
    </row>
    <row r="15" spans="1:14">
      <c r="A15" s="22" t="s">
        <v>30</v>
      </c>
      <c r="B15" s="25">
        <v>1053260</v>
      </c>
      <c r="C15" s="25">
        <v>533386</v>
      </c>
      <c r="D15" s="25">
        <v>519874</v>
      </c>
    </row>
    <row r="16" spans="1:14">
      <c r="A16" s="22" t="s">
        <v>31</v>
      </c>
      <c r="B16" s="25">
        <v>1166050</v>
      </c>
      <c r="C16" s="25">
        <v>475958</v>
      </c>
      <c r="D16" s="25">
        <v>690092</v>
      </c>
      <c r="G16" s="24" t="s">
        <v>35</v>
      </c>
      <c r="H16" s="24"/>
      <c r="I16" s="24"/>
      <c r="J16" s="24"/>
      <c r="L16" s="24" t="s">
        <v>34</v>
      </c>
      <c r="M16" s="24"/>
    </row>
    <row r="17" spans="1:13">
      <c r="A17" s="22" t="s">
        <v>32</v>
      </c>
      <c r="B17" s="25">
        <v>1007842</v>
      </c>
      <c r="C17" s="25">
        <v>466000</v>
      </c>
      <c r="D17" s="25">
        <v>541842</v>
      </c>
      <c r="G17" s="28" t="s">
        <v>39</v>
      </c>
      <c r="H17" s="22" t="s">
        <v>1689</v>
      </c>
      <c r="I17" s="22" t="s">
        <v>1687</v>
      </c>
      <c r="J17" s="22" t="s">
        <v>1690</v>
      </c>
      <c r="L17" s="21" t="s">
        <v>1681</v>
      </c>
      <c r="M17" t="s">
        <v>1691</v>
      </c>
    </row>
    <row r="18" spans="1:13">
      <c r="A18" s="22" t="s">
        <v>33</v>
      </c>
      <c r="B18" s="25">
        <v>1417617</v>
      </c>
      <c r="C18" s="25">
        <v>746555</v>
      </c>
      <c r="D18" s="25">
        <v>671062</v>
      </c>
      <c r="G18" s="22" t="s">
        <v>42</v>
      </c>
      <c r="H18" s="29">
        <v>3537905</v>
      </c>
      <c r="I18" s="29">
        <v>1937753</v>
      </c>
      <c r="J18" s="29">
        <v>1600152</v>
      </c>
      <c r="L18" s="22" t="s">
        <v>41</v>
      </c>
      <c r="M18" s="23">
        <v>475</v>
      </c>
    </row>
    <row r="19" spans="1:13">
      <c r="A19" s="22" t="s">
        <v>36</v>
      </c>
      <c r="B19" s="25">
        <v>1046608</v>
      </c>
      <c r="C19" s="25">
        <v>450671</v>
      </c>
      <c r="D19" s="25">
        <v>595937</v>
      </c>
      <c r="G19" s="22" t="s">
        <v>45</v>
      </c>
      <c r="H19" s="29">
        <v>2799412</v>
      </c>
      <c r="I19" s="29">
        <v>1520772</v>
      </c>
      <c r="J19" s="29">
        <v>1278640</v>
      </c>
      <c r="L19" s="22" t="s">
        <v>44</v>
      </c>
      <c r="M19" s="23">
        <v>25</v>
      </c>
    </row>
    <row r="20" spans="1:13">
      <c r="A20" s="22" t="s">
        <v>40</v>
      </c>
      <c r="B20" s="25">
        <v>1368142</v>
      </c>
      <c r="C20" s="25">
        <v>730837</v>
      </c>
      <c r="D20" s="25">
        <v>637305</v>
      </c>
      <c r="G20" s="22" t="s">
        <v>46</v>
      </c>
      <c r="H20" s="29">
        <v>2611417</v>
      </c>
      <c r="I20" s="29">
        <v>1270235</v>
      </c>
      <c r="J20" s="29">
        <v>1341182</v>
      </c>
      <c r="L20" s="22" t="s">
        <v>1682</v>
      </c>
      <c r="M20" s="23">
        <v>500</v>
      </c>
    </row>
    <row r="21" spans="1:13">
      <c r="A21" s="22" t="s">
        <v>43</v>
      </c>
      <c r="B21" s="25">
        <v>808258</v>
      </c>
      <c r="C21" s="25">
        <v>363424</v>
      </c>
      <c r="D21" s="25">
        <v>444834</v>
      </c>
      <c r="G21" s="22" t="s">
        <v>48</v>
      </c>
      <c r="H21" s="29">
        <v>2555708</v>
      </c>
      <c r="I21" s="29">
        <v>1296894</v>
      </c>
      <c r="J21" s="29">
        <v>1258814</v>
      </c>
    </row>
    <row r="22" spans="1:13">
      <c r="A22" s="22" t="s">
        <v>1682</v>
      </c>
      <c r="B22" s="25">
        <v>14015977</v>
      </c>
      <c r="C22" s="25">
        <v>6619837</v>
      </c>
      <c r="D22" s="25">
        <v>7396140</v>
      </c>
      <c r="G22" s="22" t="s">
        <v>50</v>
      </c>
      <c r="H22" s="29">
        <v>2511535</v>
      </c>
      <c r="I22" s="29">
        <v>1370486</v>
      </c>
      <c r="J22" s="29">
        <v>1141049</v>
      </c>
    </row>
    <row r="23" spans="1:13">
      <c r="G23" s="22" t="s">
        <v>1682</v>
      </c>
      <c r="H23" s="29">
        <v>14015977</v>
      </c>
      <c r="I23" s="29">
        <v>7396140</v>
      </c>
      <c r="J23" s="29">
        <v>6619837</v>
      </c>
    </row>
    <row r="25" spans="1:13">
      <c r="F25" s="30" t="s">
        <v>1692</v>
      </c>
      <c r="G25" s="30" t="s">
        <v>1683</v>
      </c>
      <c r="H25" s="30"/>
      <c r="I25" s="30"/>
      <c r="J25" s="30"/>
      <c r="K25" s="30"/>
      <c r="L25" s="30"/>
    </row>
    <row r="26" spans="1:13">
      <c r="F26" s="21" t="s">
        <v>1692</v>
      </c>
      <c r="G26" t="s">
        <v>22</v>
      </c>
      <c r="H26" t="s">
        <v>19</v>
      </c>
      <c r="I26" t="s">
        <v>29</v>
      </c>
      <c r="J26" t="s">
        <v>25</v>
      </c>
      <c r="K26" t="s">
        <v>27</v>
      </c>
      <c r="L26" t="s">
        <v>1682</v>
      </c>
    </row>
    <row r="27" spans="1:13">
      <c r="F27" s="22" t="s">
        <v>80</v>
      </c>
      <c r="G27" s="25">
        <v>608037</v>
      </c>
      <c r="H27" s="25">
        <v>907829</v>
      </c>
      <c r="I27" s="25">
        <v>626291</v>
      </c>
      <c r="J27" s="25">
        <v>477706</v>
      </c>
      <c r="K27" s="25">
        <v>464627</v>
      </c>
      <c r="L27" s="25">
        <v>3084490</v>
      </c>
    </row>
    <row r="28" spans="1:13">
      <c r="F28" s="22" t="s">
        <v>65</v>
      </c>
      <c r="G28" s="25">
        <v>823185</v>
      </c>
      <c r="H28" s="25">
        <v>645213</v>
      </c>
      <c r="I28" s="25">
        <v>558039</v>
      </c>
      <c r="J28" s="25">
        <v>868639</v>
      </c>
      <c r="K28" s="25">
        <v>1221894</v>
      </c>
      <c r="L28" s="25">
        <v>4116970</v>
      </c>
    </row>
    <row r="29" spans="1:13">
      <c r="F29" s="22" t="s">
        <v>87</v>
      </c>
      <c r="G29" s="25">
        <v>661480</v>
      </c>
      <c r="H29" s="25">
        <v>790257</v>
      </c>
      <c r="I29" s="25">
        <v>777910</v>
      </c>
      <c r="J29" s="25">
        <v>857222</v>
      </c>
      <c r="K29" s="25">
        <v>504640</v>
      </c>
      <c r="L29" s="25">
        <v>3591509</v>
      </c>
    </row>
    <row r="30" spans="1:13">
      <c r="F30" s="22" t="s">
        <v>152</v>
      </c>
      <c r="G30" s="25">
        <v>734459</v>
      </c>
      <c r="H30" s="25">
        <v>503410</v>
      </c>
      <c r="I30" s="25">
        <v>787594</v>
      </c>
      <c r="J30" s="25">
        <v>620377</v>
      </c>
      <c r="K30" s="25">
        <v>577168</v>
      </c>
      <c r="L30" s="25">
        <v>3223008</v>
      </c>
    </row>
    <row r="31" spans="1:13">
      <c r="F31" s="22" t="s">
        <v>1682</v>
      </c>
      <c r="G31" s="25">
        <v>2827161</v>
      </c>
      <c r="H31" s="25">
        <v>2846709</v>
      </c>
      <c r="I31" s="25">
        <v>2749834</v>
      </c>
      <c r="J31" s="25">
        <v>2823944</v>
      </c>
      <c r="K31" s="25">
        <v>2768329</v>
      </c>
      <c r="L31" s="25">
        <v>14015977</v>
      </c>
    </row>
  </sheetData>
  <mergeCells count="17">
    <mergeCell ref="A5:C6"/>
    <mergeCell ref="D5:F6"/>
    <mergeCell ref="G5:I6"/>
    <mergeCell ref="K5:L6"/>
    <mergeCell ref="M5:N6"/>
    <mergeCell ref="A1:N1"/>
    <mergeCell ref="A2:N2"/>
    <mergeCell ref="A4:C4"/>
    <mergeCell ref="D4:F4"/>
    <mergeCell ref="G4:I4"/>
    <mergeCell ref="K4:L4"/>
    <mergeCell ref="M4:N4"/>
    <mergeCell ref="A8:D8"/>
    <mergeCell ref="F8:I8"/>
    <mergeCell ref="K7:N7"/>
    <mergeCell ref="G16:J16"/>
    <mergeCell ref="L16:M16"/>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0"/>
  <sheetViews>
    <sheetView showGridLines="0" topLeftCell="E1" workbookViewId="0">
      <pane ySplit="4" topLeftCell="A45" activePane="bottomLeft" state="frozen"/>
      <selection pane="bottomLeft" activeCell="B2" sqref="B2:O7"/>
    </sheetView>
  </sheetViews>
  <sheetFormatPr defaultRowHeight="14.5"/>
  <cols>
    <col min="1" max="1" width="3" customWidth="1"/>
    <col min="2" max="2" width="19" customWidth="1"/>
    <col min="3" max="5" width="16" customWidth="1"/>
    <col min="6" max="6" width="4" customWidth="1"/>
    <col min="7" max="7" width="19" customWidth="1"/>
    <col min="8" max="10" width="16" customWidth="1"/>
    <col min="11" max="11" width="4" customWidth="1"/>
    <col min="12" max="12" width="19" customWidth="1"/>
    <col min="13" max="15" width="16" customWidth="1"/>
  </cols>
  <sheetData>
    <row r="2" spans="2:15" ht="38" customHeight="1">
      <c r="B2" s="13" t="s">
        <v>0</v>
      </c>
      <c r="C2" s="14"/>
      <c r="D2" s="14"/>
      <c r="E2" s="14"/>
      <c r="F2" s="14"/>
      <c r="G2" s="14"/>
      <c r="H2" s="14"/>
      <c r="I2" s="14"/>
      <c r="J2" s="14"/>
      <c r="K2" s="14"/>
      <c r="L2" s="14"/>
      <c r="M2" s="14"/>
      <c r="N2" s="14"/>
      <c r="O2" s="14"/>
    </row>
    <row r="3" spans="2:15" ht="23" customHeight="1">
      <c r="B3" s="17" t="s">
        <v>1</v>
      </c>
      <c r="C3" s="14"/>
      <c r="D3" s="14"/>
      <c r="E3" s="14"/>
      <c r="F3" s="14"/>
      <c r="G3" s="14"/>
      <c r="H3" s="14"/>
      <c r="I3" s="14"/>
      <c r="J3" s="14"/>
      <c r="K3" s="14"/>
      <c r="L3" s="14"/>
      <c r="M3" s="14"/>
      <c r="N3" s="14"/>
      <c r="O3" s="14"/>
    </row>
    <row r="5" spans="2:15" ht="22" customHeight="1">
      <c r="B5" s="9" t="s">
        <v>2</v>
      </c>
      <c r="C5" s="8"/>
      <c r="D5" s="8"/>
      <c r="E5" s="10" t="s">
        <v>3</v>
      </c>
      <c r="F5" s="8"/>
      <c r="G5" s="8"/>
      <c r="H5" s="12" t="s">
        <v>4</v>
      </c>
      <c r="I5" s="8"/>
      <c r="J5" s="8"/>
      <c r="L5" s="18" t="s">
        <v>5</v>
      </c>
      <c r="M5" s="8"/>
      <c r="N5" s="20" t="s">
        <v>6</v>
      </c>
      <c r="O5" s="8"/>
    </row>
    <row r="6" spans="2:15" ht="27" customHeight="1">
      <c r="B6" s="7">
        <v>14015977</v>
      </c>
      <c r="C6" s="8"/>
      <c r="D6" s="8"/>
      <c r="E6" s="7">
        <v>7396140</v>
      </c>
      <c r="F6" s="8"/>
      <c r="G6" s="8"/>
      <c r="H6" s="7">
        <v>6619837</v>
      </c>
      <c r="I6" s="8"/>
      <c r="J6" s="8"/>
      <c r="L6" s="11">
        <v>0.52769350292170147</v>
      </c>
      <c r="M6" s="8"/>
      <c r="N6" s="15">
        <v>475</v>
      </c>
      <c r="O6" s="8"/>
    </row>
    <row r="7" spans="2:15" ht="22" customHeight="1">
      <c r="B7" s="8"/>
      <c r="C7" s="8"/>
      <c r="D7" s="8"/>
      <c r="E7" s="8"/>
      <c r="F7" s="8"/>
      <c r="G7" s="8"/>
      <c r="H7" s="8"/>
      <c r="I7" s="8"/>
      <c r="J7" s="8"/>
      <c r="L7" s="8"/>
      <c r="M7" s="8"/>
      <c r="N7" s="8"/>
      <c r="O7" s="8"/>
    </row>
    <row r="10" spans="2:15">
      <c r="B10" s="16" t="s">
        <v>7</v>
      </c>
      <c r="C10" s="14"/>
      <c r="D10" s="14"/>
      <c r="E10" s="14"/>
      <c r="G10" s="26" t="s">
        <v>8</v>
      </c>
      <c r="H10" s="14"/>
      <c r="I10" s="14"/>
      <c r="J10" s="14"/>
      <c r="L10" s="26" t="s">
        <v>9</v>
      </c>
      <c r="M10" s="14"/>
      <c r="N10" s="14"/>
      <c r="O10" s="14"/>
    </row>
    <row r="11" spans="2:15">
      <c r="B11" s="1" t="s">
        <v>10</v>
      </c>
      <c r="C11" s="1" t="s">
        <v>11</v>
      </c>
      <c r="D11" s="1" t="s">
        <v>12</v>
      </c>
      <c r="E11" s="1" t="s">
        <v>13</v>
      </c>
      <c r="G11" s="1" t="s">
        <v>14</v>
      </c>
      <c r="H11" s="1" t="s">
        <v>15</v>
      </c>
      <c r="I11" s="1" t="s">
        <v>12</v>
      </c>
      <c r="J11" s="1" t="s">
        <v>13</v>
      </c>
      <c r="L11" s="1" t="s">
        <v>16</v>
      </c>
      <c r="M11" s="1" t="s">
        <v>15</v>
      </c>
      <c r="N11" s="1" t="s">
        <v>12</v>
      </c>
      <c r="O11" s="1" t="s">
        <v>13</v>
      </c>
    </row>
    <row r="12" spans="2:15">
      <c r="B12" s="2" t="s">
        <v>17</v>
      </c>
      <c r="C12" s="3">
        <v>1112738</v>
      </c>
      <c r="D12" s="3">
        <v>678578</v>
      </c>
      <c r="E12" s="3">
        <v>434160</v>
      </c>
      <c r="G12" s="2" t="s">
        <v>18</v>
      </c>
      <c r="H12" s="3">
        <v>6094955</v>
      </c>
      <c r="I12" s="3">
        <v>3082910</v>
      </c>
      <c r="J12" s="3">
        <v>3012045</v>
      </c>
      <c r="L12" s="2" t="s">
        <v>19</v>
      </c>
      <c r="M12" s="3">
        <v>2846709</v>
      </c>
      <c r="N12" s="3">
        <v>1565663</v>
      </c>
      <c r="O12" s="3">
        <v>1281046</v>
      </c>
    </row>
    <row r="13" spans="2:15">
      <c r="B13" s="2" t="s">
        <v>20</v>
      </c>
      <c r="C13" s="3">
        <v>983356</v>
      </c>
      <c r="D13" s="3">
        <v>529494</v>
      </c>
      <c r="E13" s="3">
        <v>453862</v>
      </c>
      <c r="G13" s="2" t="s">
        <v>21</v>
      </c>
      <c r="H13" s="3">
        <v>4897410</v>
      </c>
      <c r="I13" s="3">
        <v>2579760</v>
      </c>
      <c r="J13" s="3">
        <v>2317650</v>
      </c>
      <c r="L13" s="2" t="s">
        <v>22</v>
      </c>
      <c r="M13" s="3">
        <v>2827161</v>
      </c>
      <c r="N13" s="3">
        <v>1349881</v>
      </c>
      <c r="O13" s="3">
        <v>1477280</v>
      </c>
    </row>
    <row r="14" spans="2:15">
      <c r="B14" s="2" t="s">
        <v>23</v>
      </c>
      <c r="C14" s="3">
        <v>988396</v>
      </c>
      <c r="D14" s="3">
        <v>500048</v>
      </c>
      <c r="E14" s="3">
        <v>488348</v>
      </c>
      <c r="G14" s="2" t="s">
        <v>24</v>
      </c>
      <c r="H14" s="3">
        <v>3023612</v>
      </c>
      <c r="I14" s="3">
        <v>1733470</v>
      </c>
      <c r="J14" s="3">
        <v>1290142</v>
      </c>
      <c r="L14" s="2" t="s">
        <v>25</v>
      </c>
      <c r="M14" s="3">
        <v>2823944</v>
      </c>
      <c r="N14" s="3">
        <v>1509588</v>
      </c>
      <c r="O14" s="3">
        <v>1314356</v>
      </c>
    </row>
    <row r="15" spans="2:15">
      <c r="B15" s="2" t="s">
        <v>26</v>
      </c>
      <c r="C15" s="3">
        <v>1824432</v>
      </c>
      <c r="D15" s="3">
        <v>877523</v>
      </c>
      <c r="E15" s="3">
        <v>946909</v>
      </c>
      <c r="L15" s="2" t="s">
        <v>27</v>
      </c>
      <c r="M15" s="3">
        <v>2768329</v>
      </c>
      <c r="N15" s="3">
        <v>1518971</v>
      </c>
      <c r="O15" s="3">
        <v>1249358</v>
      </c>
    </row>
    <row r="16" spans="2:15">
      <c r="B16" s="2" t="s">
        <v>28</v>
      </c>
      <c r="C16" s="3">
        <v>1239278</v>
      </c>
      <c r="D16" s="3">
        <v>709551</v>
      </c>
      <c r="E16" s="3">
        <v>529727</v>
      </c>
      <c r="L16" s="2" t="s">
        <v>29</v>
      </c>
      <c r="M16" s="3">
        <v>2749834</v>
      </c>
      <c r="N16" s="3">
        <v>1452037</v>
      </c>
      <c r="O16" s="3">
        <v>1297797</v>
      </c>
    </row>
    <row r="17" spans="2:15">
      <c r="B17" s="2" t="s">
        <v>30</v>
      </c>
      <c r="C17" s="3">
        <v>1053260</v>
      </c>
      <c r="D17" s="3">
        <v>519874</v>
      </c>
      <c r="E17" s="3">
        <v>533386</v>
      </c>
    </row>
    <row r="18" spans="2:15">
      <c r="B18" s="2" t="s">
        <v>31</v>
      </c>
      <c r="C18" s="3">
        <v>1166050</v>
      </c>
      <c r="D18" s="3">
        <v>690092</v>
      </c>
      <c r="E18" s="3">
        <v>475958</v>
      </c>
    </row>
    <row r="19" spans="2:15">
      <c r="B19" s="2" t="s">
        <v>32</v>
      </c>
      <c r="C19" s="3">
        <v>1007842</v>
      </c>
      <c r="D19" s="3">
        <v>541842</v>
      </c>
      <c r="E19" s="3">
        <v>466000</v>
      </c>
    </row>
    <row r="20" spans="2:15">
      <c r="B20" s="2" t="s">
        <v>33</v>
      </c>
      <c r="C20" s="3">
        <v>1417617</v>
      </c>
      <c r="D20" s="3">
        <v>671062</v>
      </c>
      <c r="E20" s="3">
        <v>746555</v>
      </c>
      <c r="G20" s="26" t="s">
        <v>34</v>
      </c>
      <c r="H20" s="14"/>
      <c r="I20" s="14"/>
      <c r="J20" s="14"/>
      <c r="L20" s="26" t="s">
        <v>35</v>
      </c>
      <c r="M20" s="14"/>
      <c r="N20" s="14"/>
      <c r="O20" s="14"/>
    </row>
    <row r="21" spans="2:15">
      <c r="B21" s="2" t="s">
        <v>36</v>
      </c>
      <c r="C21" s="3">
        <v>1046608</v>
      </c>
      <c r="D21" s="3">
        <v>595937</v>
      </c>
      <c r="E21" s="3">
        <v>450671</v>
      </c>
      <c r="G21" s="4" t="s">
        <v>37</v>
      </c>
      <c r="H21" s="4" t="s">
        <v>38</v>
      </c>
      <c r="L21" s="1" t="s">
        <v>39</v>
      </c>
      <c r="M21" s="1" t="s">
        <v>15</v>
      </c>
      <c r="N21" s="1" t="s">
        <v>12</v>
      </c>
      <c r="O21" s="1" t="s">
        <v>13</v>
      </c>
    </row>
    <row r="22" spans="2:15">
      <c r="B22" s="2" t="s">
        <v>40</v>
      </c>
      <c r="C22" s="3">
        <v>1368142</v>
      </c>
      <c r="D22" s="3">
        <v>637305</v>
      </c>
      <c r="E22" s="3">
        <v>730837</v>
      </c>
      <c r="G22" s="2" t="s">
        <v>41</v>
      </c>
      <c r="H22" s="2">
        <v>475</v>
      </c>
      <c r="L22" s="2" t="s">
        <v>42</v>
      </c>
      <c r="M22" s="3">
        <v>3537905</v>
      </c>
      <c r="N22" s="3">
        <v>1937753</v>
      </c>
      <c r="O22" s="3">
        <v>1600152</v>
      </c>
    </row>
    <row r="23" spans="2:15">
      <c r="B23" s="2" t="s">
        <v>43</v>
      </c>
      <c r="C23" s="3">
        <v>808258</v>
      </c>
      <c r="D23" s="3">
        <v>444834</v>
      </c>
      <c r="E23" s="3">
        <v>363424</v>
      </c>
      <c r="G23" s="2" t="s">
        <v>44</v>
      </c>
      <c r="H23" s="2">
        <v>25</v>
      </c>
      <c r="L23" s="2" t="s">
        <v>45</v>
      </c>
      <c r="M23" s="3">
        <v>2799412</v>
      </c>
      <c r="N23" s="3">
        <v>1520772</v>
      </c>
      <c r="O23" s="3">
        <v>1278640</v>
      </c>
    </row>
    <row r="24" spans="2:15">
      <c r="L24" s="2" t="s">
        <v>46</v>
      </c>
      <c r="M24" s="3">
        <v>2611417</v>
      </c>
      <c r="N24" s="3">
        <v>1270235</v>
      </c>
      <c r="O24" s="3">
        <v>1341182</v>
      </c>
    </row>
    <row r="25" spans="2:15">
      <c r="G25" s="5" t="s">
        <v>47</v>
      </c>
      <c r="H25" s="5">
        <v>25</v>
      </c>
      <c r="L25" s="2" t="s">
        <v>48</v>
      </c>
      <c r="M25" s="3">
        <v>2555708</v>
      </c>
      <c r="N25" s="3">
        <v>1296894</v>
      </c>
      <c r="O25" s="3">
        <v>1258814</v>
      </c>
    </row>
    <row r="26" spans="2:15">
      <c r="G26" s="5" t="s">
        <v>49</v>
      </c>
      <c r="H26" s="5">
        <v>475</v>
      </c>
      <c r="L26" s="2" t="s">
        <v>50</v>
      </c>
      <c r="M26" s="3">
        <v>2511535</v>
      </c>
      <c r="N26" s="3">
        <v>1370486</v>
      </c>
      <c r="O26" s="3">
        <v>1141049</v>
      </c>
    </row>
    <row r="60" spans="2:15" ht="22" customHeight="1">
      <c r="B60" s="19" t="s">
        <v>51</v>
      </c>
      <c r="C60" s="14"/>
      <c r="D60" s="14"/>
      <c r="E60" s="14"/>
      <c r="F60" s="14"/>
      <c r="G60" s="14"/>
      <c r="H60" s="14"/>
      <c r="I60" s="14"/>
      <c r="J60" s="14"/>
      <c r="K60" s="14"/>
      <c r="L60" s="14"/>
      <c r="M60" s="14"/>
      <c r="N60" s="14"/>
      <c r="O60" s="14"/>
    </row>
  </sheetData>
  <mergeCells count="18">
    <mergeCell ref="B60:O60"/>
    <mergeCell ref="N5:O5"/>
    <mergeCell ref="B10:E10"/>
    <mergeCell ref="G10:J10"/>
    <mergeCell ref="L6:M7"/>
    <mergeCell ref="H5:J5"/>
    <mergeCell ref="B2:O2"/>
    <mergeCell ref="N6:O7"/>
    <mergeCell ref="G20:J20"/>
    <mergeCell ref="B3:O3"/>
    <mergeCell ref="L10:O10"/>
    <mergeCell ref="L5:M5"/>
    <mergeCell ref="L20:O20"/>
    <mergeCell ref="E6:G7"/>
    <mergeCell ref="H6:J7"/>
    <mergeCell ref="B5:D5"/>
    <mergeCell ref="B6:D7"/>
    <mergeCell ref="E5:G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Sejal Rai</cp:lastModifiedBy>
  <dcterms:created xsi:type="dcterms:W3CDTF">2026-03-29T09:10:22Z</dcterms:created>
  <dcterms:modified xsi:type="dcterms:W3CDTF">2026-10-27T07:44:11Z</dcterms:modified>
</cp:coreProperties>
</file>